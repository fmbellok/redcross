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ericanredcross-my.sharepoint.com/personal/morgan_bell5_redcross_org/Documents/Inventory/Counts/"/>
    </mc:Choice>
  </mc:AlternateContent>
  <bookViews>
    <workbookView xWindow="0" yWindow="0" windowWidth="25200" windowHeight="11700"/>
  </bookViews>
  <sheets>
    <sheet name="Summary" sheetId="1" r:id="rId1"/>
    <sheet name="Controls" sheetId="7" r:id="rId2"/>
    <sheet name="Stillwater" sheetId="10" r:id="rId3"/>
    <sheet name="Tulsa Mass Storage" sheetId="12" r:id="rId4"/>
    <sheet name="Pryor" sheetId="11" r:id="rId5"/>
  </sheets>
  <definedNames>
    <definedName name="ExternalData_1" localSheetId="1" hidden="1">Controls!$A$1:$A$56</definedName>
    <definedName name="ExternalData_1" localSheetId="2" hidden="1">Stillwater!$A$5:$AE$60</definedName>
    <definedName name="ExternalData_1" localSheetId="3" hidden="1">'Tulsa Mass Storage'!$A$5:$AE$60</definedName>
    <definedName name="ExternalData_2" localSheetId="4" hidden="1">Pryor!$A$5:$AE$56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66" i="1"/>
  <c r="C15" i="1"/>
  <c r="C20" i="1"/>
  <c r="C62" i="1"/>
  <c r="D8" i="1"/>
  <c r="C81" i="1"/>
  <c r="E49" i="1"/>
  <c r="C21" i="1"/>
  <c r="D37" i="1"/>
  <c r="E37" i="1"/>
  <c r="C56" i="1"/>
  <c r="D12" i="1"/>
  <c r="C74" i="1"/>
  <c r="C38" i="1"/>
  <c r="D17" i="1"/>
  <c r="D43" i="1"/>
  <c r="D68" i="1"/>
  <c r="D39" i="1"/>
  <c r="D81" i="1"/>
  <c r="D42" i="1"/>
  <c r="D28" i="1"/>
  <c r="D58" i="1"/>
  <c r="C12" i="1"/>
  <c r="E42" i="1"/>
  <c r="C29" i="1"/>
  <c r="D86" i="1"/>
  <c r="C19" i="1"/>
  <c r="D25" i="1"/>
  <c r="E41" i="1"/>
  <c r="D77" i="1"/>
  <c r="D34" i="1"/>
  <c r="C8" i="1"/>
  <c r="E48" i="1"/>
  <c r="E10" i="1"/>
  <c r="C72" i="1"/>
  <c r="E22" i="1"/>
  <c r="C49" i="1"/>
  <c r="D70" i="1"/>
  <c r="D71" i="1"/>
  <c r="E52" i="1"/>
  <c r="D54" i="1"/>
  <c r="D87" i="1"/>
  <c r="D76" i="1"/>
  <c r="D36" i="1"/>
  <c r="D44" i="1"/>
  <c r="C78" i="1"/>
  <c r="D35" i="1"/>
  <c r="E9" i="1"/>
  <c r="D18" i="1"/>
  <c r="D21" i="1"/>
  <c r="E12" i="1"/>
  <c r="E44" i="1"/>
  <c r="C68" i="1"/>
  <c r="E33" i="1"/>
  <c r="C30" i="1"/>
  <c r="E51" i="1"/>
  <c r="E46" i="1"/>
  <c r="D61" i="1"/>
  <c r="D46" i="1"/>
  <c r="D78" i="1"/>
  <c r="C35" i="1"/>
  <c r="D56" i="1"/>
  <c r="C83" i="1"/>
  <c r="C51" i="1"/>
  <c r="D14" i="1"/>
  <c r="E27" i="1"/>
  <c r="E14" i="1"/>
  <c r="C67" i="1"/>
  <c r="C50" i="1"/>
  <c r="E56" i="1"/>
  <c r="C40" i="1"/>
  <c r="C11" i="1"/>
  <c r="E29" i="1"/>
  <c r="E54" i="1"/>
  <c r="D64" i="1"/>
  <c r="D66" i="1"/>
  <c r="C45" i="1"/>
  <c r="D32" i="1"/>
  <c r="D6" i="1"/>
  <c r="E55" i="1"/>
  <c r="D49" i="1"/>
  <c r="C9" i="1"/>
  <c r="C7" i="1"/>
  <c r="D27" i="1"/>
  <c r="C75" i="1"/>
  <c r="E11" i="1"/>
  <c r="E38" i="1"/>
  <c r="C28" i="1"/>
  <c r="D79" i="1"/>
  <c r="C64" i="1"/>
  <c r="D72" i="1"/>
  <c r="D52" i="1"/>
  <c r="D84" i="1"/>
  <c r="D67" i="1"/>
  <c r="E8" i="1"/>
  <c r="E36" i="1"/>
  <c r="C14" i="1"/>
  <c r="E28" i="1"/>
  <c r="C44" i="1"/>
  <c r="C73" i="1"/>
  <c r="C82" i="1"/>
  <c r="C22" i="1"/>
  <c r="D29" i="1"/>
  <c r="E39" i="1"/>
  <c r="C61" i="1"/>
  <c r="D23" i="1"/>
  <c r="E40" i="1"/>
  <c r="C6" i="1"/>
  <c r="D16" i="1"/>
  <c r="E15" i="1"/>
  <c r="D55" i="1"/>
  <c r="E21" i="1"/>
  <c r="D59" i="1"/>
  <c r="E6" i="1"/>
  <c r="C48" i="1"/>
  <c r="C63" i="1"/>
  <c r="C31" i="1"/>
  <c r="C36" i="1"/>
  <c r="D73" i="1"/>
  <c r="D63" i="1"/>
  <c r="D7" i="1"/>
  <c r="E34" i="1"/>
  <c r="E19" i="1"/>
  <c r="C55" i="1"/>
  <c r="E43" i="1"/>
  <c r="D69" i="1"/>
  <c r="D10" i="1"/>
  <c r="C69" i="1"/>
  <c r="C33" i="1"/>
  <c r="D60" i="1"/>
  <c r="D15" i="1"/>
  <c r="C65" i="1"/>
  <c r="E31" i="1"/>
  <c r="D65" i="1"/>
  <c r="C54" i="1"/>
  <c r="C37" i="1"/>
  <c r="D47" i="1"/>
  <c r="C77" i="1"/>
  <c r="D85" i="1"/>
  <c r="D80" i="1"/>
  <c r="C76" i="1"/>
  <c r="C85" i="1"/>
  <c r="C47" i="1"/>
  <c r="C23" i="1"/>
  <c r="C53" i="1"/>
  <c r="C18" i="1"/>
  <c r="C17" i="1"/>
  <c r="C46" i="1"/>
  <c r="E24" i="1"/>
  <c r="D57" i="1"/>
  <c r="C58" i="1"/>
  <c r="C10" i="1"/>
  <c r="D38" i="1"/>
  <c r="C86" i="1"/>
  <c r="E50" i="1"/>
  <c r="E32" i="1"/>
  <c r="D31" i="1"/>
  <c r="C87" i="1"/>
  <c r="C34" i="1"/>
  <c r="C25" i="1"/>
  <c r="E25" i="1"/>
  <c r="D48" i="1"/>
  <c r="C57" i="1"/>
  <c r="D13" i="1"/>
  <c r="D83" i="1"/>
  <c r="E17" i="1"/>
  <c r="E26" i="1"/>
  <c r="D50" i="1"/>
  <c r="E53" i="1"/>
  <c r="D45" i="1"/>
  <c r="C84" i="1"/>
  <c r="E16" i="1"/>
  <c r="C71" i="1"/>
  <c r="E20" i="1"/>
  <c r="C41" i="1"/>
  <c r="D75" i="1"/>
  <c r="D82" i="1"/>
  <c r="E47" i="1"/>
  <c r="D20" i="1"/>
  <c r="C80" i="1"/>
  <c r="C13" i="1"/>
  <c r="C26" i="1"/>
  <c r="E13" i="1"/>
  <c r="C16" i="1"/>
  <c r="E18" i="1"/>
  <c r="C24" i="1"/>
  <c r="C27" i="1"/>
  <c r="C32" i="1"/>
  <c r="D24" i="1"/>
  <c r="D51" i="1"/>
  <c r="D26" i="1"/>
  <c r="D41" i="1"/>
  <c r="D40" i="1"/>
  <c r="D9" i="1"/>
  <c r="E45" i="1"/>
  <c r="D19" i="1"/>
  <c r="D53" i="1"/>
  <c r="C60" i="1"/>
  <c r="E35" i="1"/>
  <c r="D74" i="1"/>
  <c r="C79" i="1"/>
  <c r="C42" i="1"/>
  <c r="D62" i="1"/>
  <c r="E23" i="1"/>
  <c r="C59" i="1"/>
  <c r="C43" i="1"/>
  <c r="D33" i="1"/>
  <c r="D30" i="1"/>
  <c r="D11" i="1"/>
  <c r="C70" i="1"/>
  <c r="E30" i="1"/>
  <c r="D22" i="1"/>
  <c r="C52" i="1"/>
  <c r="C39" i="1"/>
  <c r="B39" i="1" l="1"/>
  <c r="B52" i="1"/>
  <c r="B43" i="1"/>
  <c r="B42" i="1"/>
  <c r="B32" i="1"/>
  <c r="B27" i="1"/>
  <c r="B24" i="1"/>
  <c r="B16" i="1"/>
  <c r="B26" i="1"/>
  <c r="B13" i="1"/>
  <c r="B41" i="1"/>
  <c r="B25" i="1"/>
  <c r="B34" i="1"/>
  <c r="B10" i="1"/>
  <c r="B46" i="1"/>
  <c r="B17" i="1"/>
  <c r="B18" i="1"/>
  <c r="B53" i="1"/>
  <c r="B23" i="1"/>
  <c r="B47" i="1"/>
  <c r="B37" i="1"/>
  <c r="B54" i="1"/>
  <c r="B33" i="1"/>
  <c r="B55" i="1"/>
  <c r="B36" i="1"/>
  <c r="B31" i="1"/>
  <c r="B48" i="1"/>
  <c r="B6" i="1"/>
  <c r="B22" i="1"/>
  <c r="B44" i="1"/>
  <c r="B14" i="1"/>
  <c r="B28" i="1"/>
  <c r="B7" i="1"/>
  <c r="B9" i="1"/>
  <c r="B45" i="1"/>
  <c r="B11" i="1"/>
  <c r="B40" i="1"/>
  <c r="B50" i="1"/>
  <c r="B51" i="1"/>
  <c r="B35" i="1"/>
  <c r="B30" i="1"/>
  <c r="B49" i="1"/>
  <c r="B8" i="1"/>
  <c r="B19" i="1"/>
  <c r="B29" i="1"/>
  <c r="B12" i="1"/>
  <c r="B38" i="1"/>
  <c r="B56" i="1"/>
  <c r="B21" i="1"/>
  <c r="B20" i="1"/>
  <c r="B15" i="1"/>
</calcChain>
</file>

<file path=xl/connections.xml><?xml version="1.0" encoding="utf-8"?>
<connections xmlns="http://schemas.openxmlformats.org/spreadsheetml/2006/main">
  <connection id="1" keepAlive="1" name="Query - InventoryItems" description="Connection to the 'InventoryItems' query in the workbook." type="5" refreshedVersion="6" background="1" saveData="1">
    <dbPr connection="Provider=Microsoft.Mashup.OleDb.1;Data Source=$Workbook$;Location=InventoryItems;Extended Properties=&quot;&quot;" command="SELECT * FROM [InventoryItems]"/>
  </connection>
  <connection id="2" keepAlive="1" name="Query - Pryor" description="Connection to the 'Pryor' query in the workbook." type="5" refreshedVersion="6" background="1" saveData="1">
    <dbPr connection="Provider=Microsoft.Mashup.OleDb.1;Data Source=$Workbook$;Location=Pryor;Extended Properties=&quot;&quot;" command="SELECT * FROM [Pryor]"/>
  </connection>
  <connection id="3" keepAlive="1" name="Query - Stillwater" description="Connection to the 'Stillwater' query in the workbook." type="5" refreshedVersion="6" background="1" saveData="1">
    <dbPr connection="Provider=Microsoft.Mashup.OleDb.1;Data Source=$Workbook$;Location=Stillwater;Extended Properties=&quot;&quot;" command="SELECT * FROM [Stillwater]"/>
  </connection>
  <connection id="4" keepAlive="1" name="Query - TulsaMassStorage" description="Connection to the 'TulsaMassStorage' query in the workbook." type="5" refreshedVersion="6" background="1" saveData="1">
    <dbPr connection="Provider=Microsoft.Mashup.OleDb.1;Data Source=$Workbook$;Location=TulsaMassStorage;Extended Properties=&quot;&quot;" command="SELECT * FROM [TulsaMassStorage]"/>
  </connection>
</connections>
</file>

<file path=xl/sharedStrings.xml><?xml version="1.0" encoding="utf-8"?>
<sst xmlns="http://schemas.openxmlformats.org/spreadsheetml/2006/main" count="402" uniqueCount="93">
  <si>
    <t>Items</t>
  </si>
  <si>
    <t>(Red) Red Cross T-shirts-Size 3XL</t>
  </si>
  <si>
    <t>(Red) Red Cross T-shirts-Size 4XL</t>
  </si>
  <si>
    <t>16Ft Extension Ladder</t>
  </si>
  <si>
    <t>3 Ring Binder</t>
  </si>
  <si>
    <t>Almost Expired 9V Batteries</t>
  </si>
  <si>
    <t>Aluminum Foil</t>
  </si>
  <si>
    <t>Arts &amp; Crafts</t>
  </si>
  <si>
    <t>Back Pack</t>
  </si>
  <si>
    <t>Bicycle Helmets</t>
  </si>
  <si>
    <t>Black Toner</t>
  </si>
  <si>
    <t>Blankets</t>
  </si>
  <si>
    <t>Blue Tarps</t>
  </si>
  <si>
    <t>Car Cleaning Supplies</t>
  </si>
  <si>
    <t>Casework &amp; recovery binders</t>
  </si>
  <si>
    <t>Coloring Books</t>
  </si>
  <si>
    <t>Colorings Books</t>
  </si>
  <si>
    <t>Comfort Kits</t>
  </si>
  <si>
    <t>Crayons</t>
  </si>
  <si>
    <t>Cyan Toner</t>
  </si>
  <si>
    <t>English Community Preparedness Books</t>
  </si>
  <si>
    <t xml:space="preserve">Erasers </t>
  </si>
  <si>
    <t>Gatorade</t>
  </si>
  <si>
    <t>Get Prepared Banners 22X72</t>
  </si>
  <si>
    <t>Gloves</t>
  </si>
  <si>
    <t>Gray Bins</t>
  </si>
  <si>
    <t>H Frames for Signs to pat in yards</t>
  </si>
  <si>
    <t>I2HUB C454</t>
  </si>
  <si>
    <t>Long Term Recovery Box</t>
  </si>
  <si>
    <t>Magneta Toner</t>
  </si>
  <si>
    <t>Napkins</t>
  </si>
  <si>
    <t>Paper Cutter</t>
  </si>
  <si>
    <t>Paper Plates</t>
  </si>
  <si>
    <t>Party Supplies</t>
  </si>
  <si>
    <t>Plastic Cups</t>
  </si>
  <si>
    <t>Plastic Deers</t>
  </si>
  <si>
    <t>Plastic Frogs</t>
  </si>
  <si>
    <t>Plastic Wrap</t>
  </si>
  <si>
    <t>Rakes</t>
  </si>
  <si>
    <t>Red Cross Banner 5FTX8FT</t>
  </si>
  <si>
    <t>Red Cross Flags</t>
  </si>
  <si>
    <t>Santa</t>
  </si>
  <si>
    <t>Scrapbooks</t>
  </si>
  <si>
    <t>Shovels</t>
  </si>
  <si>
    <t>Slim Jims</t>
  </si>
  <si>
    <t>Spanish Community Preparedness Books</t>
  </si>
  <si>
    <t>Trash Bags</t>
  </si>
  <si>
    <t>Volleyball Badminton Set</t>
  </si>
  <si>
    <t>Waster Toner Bottles</t>
  </si>
  <si>
    <t>Wiffle Balls</t>
  </si>
  <si>
    <t>Yellow Toner</t>
  </si>
  <si>
    <t>Totals</t>
  </si>
  <si>
    <t>Pryor</t>
  </si>
  <si>
    <t>Quarter</t>
  </si>
  <si>
    <t>Aug-18</t>
  </si>
  <si>
    <t>Sep-18</t>
  </si>
  <si>
    <t>Oct-18</t>
  </si>
  <si>
    <t>Nov-18</t>
  </si>
  <si>
    <t>Dec-18</t>
  </si>
  <si>
    <t>Jan-19</t>
  </si>
  <si>
    <t>Feb-19</t>
  </si>
  <si>
    <t>Mar-19</t>
  </si>
  <si>
    <t>Apr-19</t>
  </si>
  <si>
    <t>May-19</t>
  </si>
  <si>
    <t>Jun-19</t>
  </si>
  <si>
    <t>Jul-19</t>
  </si>
  <si>
    <t>Aug-19</t>
  </si>
  <si>
    <t>Sep-19</t>
  </si>
  <si>
    <t>Oct-19</t>
  </si>
  <si>
    <t>Nov-19</t>
  </si>
  <si>
    <t>Dec-19</t>
  </si>
  <si>
    <t>Jan-20</t>
  </si>
  <si>
    <t>Feb-20</t>
  </si>
  <si>
    <t>Mar-20</t>
  </si>
  <si>
    <t>Apr-20</t>
  </si>
  <si>
    <t>May-20</t>
  </si>
  <si>
    <t>Jun-20</t>
  </si>
  <si>
    <t>Jul-20</t>
  </si>
  <si>
    <t>Aug-202</t>
  </si>
  <si>
    <t>Sep-20</t>
  </si>
  <si>
    <t>Oct-20</t>
  </si>
  <si>
    <t>Nov-20</t>
  </si>
  <si>
    <t>Dec-20</t>
  </si>
  <si>
    <t>This is a test</t>
  </si>
  <si>
    <t>This is a 2nd test</t>
  </si>
  <si>
    <t>This is a 3rd Test</t>
  </si>
  <si>
    <t>This is a 4th test</t>
  </si>
  <si>
    <t>Stillwater</t>
  </si>
  <si>
    <t>Jul-18</t>
  </si>
  <si>
    <t>Aug-20</t>
  </si>
  <si>
    <t>Sep=20</t>
  </si>
  <si>
    <t>Month to View</t>
  </si>
  <si>
    <t>Tulsa Mass 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</si>
</sst>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\-yy;@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49" fontId="0" fillId="0" borderId="0" xfId="0" applyNumberFormat="1"/>
    <xf numFmtId="0" fontId="2" fillId="3" borderId="0" xfId="0" applyFont="1" applyFill="1"/>
    <xf numFmtId="164" fontId="1" fillId="2" borderId="0" xfId="0" applyNumberFormat="1" applyFont="1" applyFill="1"/>
    <xf numFmtId="0" fontId="0" fillId="5" borderId="1" xfId="0" applyFont="1" applyFill="1" applyBorder="1"/>
    <xf numFmtId="0" fontId="0" fillId="5" borderId="1" xfId="0" applyFont="1" applyFill="1" applyBorder="1" applyAlignment="1">
      <alignment horizontal="left"/>
    </xf>
    <xf numFmtId="0" fontId="0" fillId="5" borderId="1" xfId="0" applyNumberFormat="1" applyFont="1" applyFill="1" applyBorder="1"/>
    <xf numFmtId="0" fontId="2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0" fillId="6" borderId="1" xfId="0" applyFont="1" applyFill="1" applyBorder="1"/>
    <xf numFmtId="0" fontId="0" fillId="6" borderId="1" xfId="0" applyFont="1" applyFill="1" applyBorder="1" applyAlignment="1">
      <alignment horizontal="left"/>
    </xf>
    <xf numFmtId="0" fontId="0" fillId="6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4</xdr:col>
          <xdr:colOff>571500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Inventory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Items" tableColumnId="1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32">
    <queryTableFields count="31">
      <queryTableField id="1" name="Items" tableColumnId="1"/>
      <queryTableField id="2" name="Jul-18" tableColumnId="2"/>
      <queryTableField id="3" name="Aug-18" tableColumnId="3"/>
      <queryTableField id="4" name="Sep-18" tableColumnId="4"/>
      <queryTableField id="5" name="Oct-18" tableColumnId="5"/>
      <queryTableField id="6" name="Nov-18" tableColumnId="6"/>
      <queryTableField id="7" name="Dec-18" tableColumnId="7"/>
      <queryTableField id="8" name="Jan-19" tableColumnId="8"/>
      <queryTableField id="9" name="Feb-19" tableColumnId="9"/>
      <queryTableField id="10" name="Mar-19" tableColumnId="10"/>
      <queryTableField id="11" name="Apr-19" tableColumnId="11"/>
      <queryTableField id="12" name="May-19" tableColumnId="12"/>
      <queryTableField id="13" name="Jun-19" tableColumnId="13"/>
      <queryTableField id="14" name="Jul-19" tableColumnId="14"/>
      <queryTableField id="15" name="Aug-19" tableColumnId="15"/>
      <queryTableField id="16" name="Sep-19" tableColumnId="16"/>
      <queryTableField id="17" name="Oct-19" tableColumnId="17"/>
      <queryTableField id="18" name="Nov-19" tableColumnId="18"/>
      <queryTableField id="19" name="Dec-19" tableColumnId="19"/>
      <queryTableField id="20" name="Jan-20" tableColumnId="20"/>
      <queryTableField id="21" name="Feb-20" tableColumnId="21"/>
      <queryTableField id="22" name="Mar-20" tableColumnId="22"/>
      <queryTableField id="23" name="Apr-20" tableColumnId="23"/>
      <queryTableField id="24" name="May-20" tableColumnId="24"/>
      <queryTableField id="25" name="Jun-20" tableColumnId="25"/>
      <queryTableField id="26" name="Jul-20" tableColumnId="26"/>
      <queryTableField id="27" name="Aug-202" tableColumnId="27"/>
      <queryTableField id="28" name="Sep-20" tableColumnId="28"/>
      <queryTableField id="29" name="Oct-20" tableColumnId="29"/>
      <queryTableField id="30" name="Nov-20" tableColumnId="30"/>
      <queryTableField id="31" name="Dec-20" tableColumnId="31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2">
    <queryTableFields count="31">
      <queryTableField id="1" name="Items" tableColumnId="1"/>
      <queryTableField id="2" name="Jul-18" tableColumnId="2"/>
      <queryTableField id="3" name="Aug-18" tableColumnId="3"/>
      <queryTableField id="4" name="Sep-18" tableColumnId="4"/>
      <queryTableField id="5" name="Oct-18" tableColumnId="5"/>
      <queryTableField id="6" name="Nov-18" tableColumnId="6"/>
      <queryTableField id="7" name="Dec-18" tableColumnId="7"/>
      <queryTableField id="8" name="Jan-19" tableColumnId="8"/>
      <queryTableField id="9" name="Feb-19" tableColumnId="9"/>
      <queryTableField id="10" name="Mar-19" tableColumnId="10"/>
      <queryTableField id="11" name="Apr-19" tableColumnId="11"/>
      <queryTableField id="12" name="May-19" tableColumnId="12"/>
      <queryTableField id="13" name="Jun-19" tableColumnId="13"/>
      <queryTableField id="14" name="Jul-19" tableColumnId="14"/>
      <queryTableField id="15" name="Aug-19" tableColumnId="15"/>
      <queryTableField id="16" name="Sep-19" tableColumnId="16"/>
      <queryTableField id="17" name="Oct-19" tableColumnId="17"/>
      <queryTableField id="18" name="Nov-19" tableColumnId="18"/>
      <queryTableField id="19" name="Dec-19" tableColumnId="19"/>
      <queryTableField id="20" name="Jan-20" tableColumnId="20"/>
      <queryTableField id="21" name="Feb-20" tableColumnId="21"/>
      <queryTableField id="22" name="Mar-20" tableColumnId="22"/>
      <queryTableField id="23" name="Apr-20" tableColumnId="23"/>
      <queryTableField id="24" name="May-20" tableColumnId="24"/>
      <queryTableField id="25" name="Jun-20" tableColumnId="25"/>
      <queryTableField id="26" name="Jul-20" tableColumnId="26"/>
      <queryTableField id="27" name="Aug-202" tableColumnId="27"/>
      <queryTableField id="28" name="Sep-20" tableColumnId="28"/>
      <queryTableField id="29" name="Oct-20" tableColumnId="29"/>
      <queryTableField id="30" name="Nov-20" tableColumnId="30"/>
      <queryTableField id="31" name="Dec-20" tableColumnId="31"/>
    </queryTableFields>
  </queryTableRefresh>
</queryTable>
</file>

<file path=xl/queryTables/queryTable4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32">
    <queryTableFields count="31">
      <queryTableField id="1" name="Items" tableColumnId="1"/>
      <queryTableField id="2" name="Jul-18" tableColumnId="2"/>
      <queryTableField id="3" name="Aug-18" tableColumnId="3"/>
      <queryTableField id="4" name="Sep-18" tableColumnId="4"/>
      <queryTableField id="5" name="Oct-18" tableColumnId="5"/>
      <queryTableField id="6" name="Nov-18" tableColumnId="6"/>
      <queryTableField id="7" name="Dec-18" tableColumnId="7"/>
      <queryTableField id="8" name="Jan-19" tableColumnId="8"/>
      <queryTableField id="9" name="Feb-19" tableColumnId="9"/>
      <queryTableField id="10" name="Mar-19" tableColumnId="10"/>
      <queryTableField id="11" name="Apr-19" tableColumnId="11"/>
      <queryTableField id="12" name="May-19" tableColumnId="12"/>
      <queryTableField id="13" name="Jun-19" tableColumnId="13"/>
      <queryTableField id="14" name="Jul-19" tableColumnId="14"/>
      <queryTableField id="15" name="Aug-19" tableColumnId="15"/>
      <queryTableField id="16" name="Sep-19" tableColumnId="16"/>
      <queryTableField id="17" name="Oct-19" tableColumnId="17"/>
      <queryTableField id="18" name="Nov-19" tableColumnId="18"/>
      <queryTableField id="19" name="Dec-19" tableColumnId="19"/>
      <queryTableField id="20" name="Jan-20" tableColumnId="20"/>
      <queryTableField id="21" name="Feb-20" tableColumnId="21"/>
      <queryTableField id="22" name="Mar-20" tableColumnId="22"/>
      <queryTableField id="23" name="Apr-20" tableColumnId="23"/>
      <queryTableField id="24" name="May-20" tableColumnId="24"/>
      <queryTableField id="25" name="Jun-20" tableColumnId="25"/>
      <queryTableField id="26" name="Jul-20" tableColumnId="26"/>
      <queryTableField id="27" name="Aug-202" tableColumnId="27"/>
      <queryTableField id="28" name="Sep-20" tableColumnId="28"/>
      <queryTableField id="29" name="Oct-20" tableColumnId="29"/>
      <queryTableField id="30" name="Nov-20" tableColumnId="30"/>
      <queryTableField id="31" name="Dec-20" tableColumnId="3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2" name="Summary" displayName="Summary" ref="A5:E56" totalsRowShown="0" headerRowDxfId="13" dataDxfId="12" tableBorderDxfId="11">
  <autoFilter ref="A5:E56"/>
  <tableColumns count="5">
    <tableColumn id="1" name="Items"/>
    <tableColumn id="2" name="Totals" dataDxfId="10">
      <calculatedColumnFormula>SUM(Summary!$C6:$E6)</calculatedColumnFormula>
    </tableColumn>
    <tableColumn id="3" name="Stillwater" dataDxfId="9">
      <calculatedColumnFormula>IFERROR(INDIRECT("Stillwater["&amp;$B$2&amp;"]"),"")</calculatedColumnFormula>
    </tableColumn>
    <tableColumn id="4" name="Tulsa Mass Storage" dataDxfId="8">
      <calculatedColumnFormula>IFERROR(INDIRECT("TulsaMassStorage["&amp;$B$2&amp;"]"),"")</calculatedColumnFormula>
    </tableColumn>
    <tableColumn id="5" name="Pryor" dataDxfId="7">
      <calculatedColumnFormula>IFERROR(INDIRECT("Pryor["&amp;$B$2&amp;"]"),"")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Months" displayName="Months" ref="H1:H31" totalsRowShown="0">
  <autoFilter ref="H1:H31"/>
  <tableColumns count="1">
    <tableColumn id="1" name="Quar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InventoryItems" displayName="InventoryItems" ref="A1:A56" tableType="queryTable" totalsRowShown="0">
  <autoFilter ref="A1:A56"/>
  <tableColumns count="1">
    <tableColumn id="1" uniqueName="1" name="Items" queryTableFieldId="1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Stillwater" displayName="Stillwater" ref="A5:AE60" tableType="queryTable" totalsRowShown="0">
  <autoFilter ref="A5:AE60"/>
  <tableColumns count="31">
    <tableColumn id="1" uniqueName="1" name="Items" queryTableFieldId="1" dataDxfId="3"/>
    <tableColumn id="2" uniqueName="2" name="Jul-18" queryTableFieldId="2"/>
    <tableColumn id="3" uniqueName="3" name="Aug-18" queryTableFieldId="3"/>
    <tableColumn id="4" uniqueName="4" name="Sep-18" queryTableFieldId="4"/>
    <tableColumn id="5" uniqueName="5" name="Oct-18" queryTableFieldId="5"/>
    <tableColumn id="6" uniqueName="6" name="Nov-18" queryTableFieldId="6"/>
    <tableColumn id="7" uniqueName="7" name="Dec-18" queryTableFieldId="7"/>
    <tableColumn id="8" uniqueName="8" name="Jan-19" queryTableFieldId="8" dataDxfId="2"/>
    <tableColumn id="9" uniqueName="9" name="Feb-19" queryTableFieldId="9"/>
    <tableColumn id="10" uniqueName="10" name="Mar-19" queryTableFieldId="10"/>
    <tableColumn id="11" uniqueName="11" name="Apr-19" queryTableFieldId="11"/>
    <tableColumn id="12" uniqueName="12" name="May-19" queryTableFieldId="12"/>
    <tableColumn id="13" uniqueName="13" name="Jun-19" queryTableFieldId="13"/>
    <tableColumn id="14" uniqueName="14" name="Jul-19" queryTableFieldId="14"/>
    <tableColumn id="15" uniqueName="15" name="Aug-19" queryTableFieldId="15"/>
    <tableColumn id="16" uniqueName="16" name="Sep-19" queryTableFieldId="16"/>
    <tableColumn id="17" uniqueName="17" name="Oct-19" queryTableFieldId="17"/>
    <tableColumn id="18" uniqueName="18" name="Nov-19" queryTableFieldId="18"/>
    <tableColumn id="19" uniqueName="19" name="Dec-19" queryTableFieldId="19"/>
    <tableColumn id="20" uniqueName="20" name="Jan-20" queryTableFieldId="20"/>
    <tableColumn id="21" uniqueName="21" name="Feb-20" queryTableFieldId="21"/>
    <tableColumn id="22" uniqueName="22" name="Mar-20" queryTableFieldId="22"/>
    <tableColumn id="23" uniqueName="23" name="Apr-20" queryTableFieldId="23"/>
    <tableColumn id="24" uniqueName="24" name="May-20" queryTableFieldId="24"/>
    <tableColumn id="25" uniqueName="25" name="Jun-20" queryTableFieldId="25"/>
    <tableColumn id="26" uniqueName="26" name="Jul-20" queryTableFieldId="26"/>
    <tableColumn id="27" uniqueName="27" name="Aug-202" queryTableFieldId="27"/>
    <tableColumn id="28" uniqueName="28" name="Sep-20" queryTableFieldId="28"/>
    <tableColumn id="29" uniqueName="29" name="Oct-20" queryTableFieldId="29"/>
    <tableColumn id="30" uniqueName="30" name="Nov-20" queryTableFieldId="30"/>
    <tableColumn id="31" uniqueName="31" name="Dec-20" queryTableField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TulsaMassStorage" displayName="TulsaMassStorage" ref="A5:AE60" tableType="queryTable" totalsRowShown="0">
  <autoFilter ref="A5:AE60"/>
  <tableColumns count="31">
    <tableColumn id="1" uniqueName="1" name="Items" queryTableFieldId="1" dataDxfId="5"/>
    <tableColumn id="2" uniqueName="2" name="Jul-18" queryTableFieldId="2"/>
    <tableColumn id="3" uniqueName="3" name="Aug-18" queryTableFieldId="3"/>
    <tableColumn id="4" uniqueName="4" name="Sep-18" queryTableFieldId="4"/>
    <tableColumn id="5" uniqueName="5" name="Oct-18" queryTableFieldId="5"/>
    <tableColumn id="6" uniqueName="6" name="Nov-18" queryTableFieldId="6"/>
    <tableColumn id="7" uniqueName="7" name="Dec-18" queryTableFieldId="7"/>
    <tableColumn id="8" uniqueName="8" name="Jan-19" queryTableFieldId="8" dataDxfId="4"/>
    <tableColumn id="9" uniqueName="9" name="Feb-19" queryTableFieldId="9"/>
    <tableColumn id="10" uniqueName="10" name="Mar-19" queryTableFieldId="10"/>
    <tableColumn id="11" uniqueName="11" name="Apr-19" queryTableFieldId="11"/>
    <tableColumn id="12" uniqueName="12" name="May-19" queryTableFieldId="12"/>
    <tableColumn id="13" uniqueName="13" name="Jun-19" queryTableFieldId="13"/>
    <tableColumn id="14" uniqueName="14" name="Jul-19" queryTableFieldId="14"/>
    <tableColumn id="15" uniqueName="15" name="Aug-19" queryTableFieldId="15"/>
    <tableColumn id="16" uniqueName="16" name="Sep-19" queryTableFieldId="16"/>
    <tableColumn id="17" uniqueName="17" name="Oct-19" queryTableFieldId="17"/>
    <tableColumn id="18" uniqueName="18" name="Nov-19" queryTableFieldId="18"/>
    <tableColumn id="19" uniqueName="19" name="Dec-19" queryTableFieldId="19"/>
    <tableColumn id="20" uniqueName="20" name="Jan-20" queryTableFieldId="20"/>
    <tableColumn id="21" uniqueName="21" name="Feb-20" queryTableFieldId="21"/>
    <tableColumn id="22" uniqueName="22" name="Mar-20" queryTableFieldId="22"/>
    <tableColumn id="23" uniqueName="23" name="Apr-20" queryTableFieldId="23"/>
    <tableColumn id="24" uniqueName="24" name="May-20" queryTableFieldId="24"/>
    <tableColumn id="25" uniqueName="25" name="Jun-20" queryTableFieldId="25"/>
    <tableColumn id="26" uniqueName="26" name="Jul-20" queryTableFieldId="26"/>
    <tableColumn id="27" uniqueName="27" name="Aug-202" queryTableFieldId="27"/>
    <tableColumn id="28" uniqueName="28" name="Sep-20" queryTableFieldId="28"/>
    <tableColumn id="29" uniqueName="29" name="Oct-20" queryTableFieldId="29"/>
    <tableColumn id="30" uniqueName="30" name="Nov-20" queryTableFieldId="30"/>
    <tableColumn id="31" uniqueName="31" name="Dec-20" queryTableFieldId="3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" name="Pryor" displayName="Pryor" ref="A5:AE56" tableType="queryTable" totalsRowShown="0">
  <autoFilter ref="A5:AE56"/>
  <tableColumns count="31">
    <tableColumn id="1" uniqueName="1" name="Items" queryTableFieldId="1" dataDxfId="1"/>
    <tableColumn id="2" uniqueName="2" name="Jul-18" queryTableFieldId="2"/>
    <tableColumn id="3" uniqueName="3" name="Aug-18" queryTableFieldId="3"/>
    <tableColumn id="4" uniqueName="4" name="Sep-18" queryTableFieldId="4"/>
    <tableColumn id="5" uniqueName="5" name="Oct-18" queryTableFieldId="5"/>
    <tableColumn id="6" uniqueName="6" name="Nov-18" queryTableFieldId="6"/>
    <tableColumn id="7" uniqueName="7" name="Dec-18" queryTableFieldId="7"/>
    <tableColumn id="8" uniqueName="8" name="Jan-19" queryTableFieldId="8" dataDxfId="0"/>
    <tableColumn id="9" uniqueName="9" name="Feb-19" queryTableFieldId="9"/>
    <tableColumn id="10" uniqueName="10" name="Mar-19" queryTableFieldId="10"/>
    <tableColumn id="11" uniqueName="11" name="Apr-19" queryTableFieldId="11"/>
    <tableColumn id="12" uniqueName="12" name="May-19" queryTableFieldId="12"/>
    <tableColumn id="13" uniqueName="13" name="Jun-19" queryTableFieldId="13"/>
    <tableColumn id="14" uniqueName="14" name="Jul-19" queryTableFieldId="14"/>
    <tableColumn id="15" uniqueName="15" name="Aug-19" queryTableFieldId="15"/>
    <tableColumn id="16" uniqueName="16" name="Sep-19" queryTableFieldId="16"/>
    <tableColumn id="17" uniqueName="17" name="Oct-19" queryTableFieldId="17"/>
    <tableColumn id="18" uniqueName="18" name="Nov-19" queryTableFieldId="18"/>
    <tableColumn id="19" uniqueName="19" name="Dec-19" queryTableFieldId="19"/>
    <tableColumn id="20" uniqueName="20" name="Jan-20" queryTableFieldId="20"/>
    <tableColumn id="21" uniqueName="21" name="Feb-20" queryTableFieldId="21"/>
    <tableColumn id="22" uniqueName="22" name="Mar-20" queryTableFieldId="22"/>
    <tableColumn id="23" uniqueName="23" name="Apr-20" queryTableFieldId="23"/>
    <tableColumn id="24" uniqueName="24" name="May-20" queryTableFieldId="24"/>
    <tableColumn id="25" uniqueName="25" name="Jun-20" queryTableFieldId="25"/>
    <tableColumn id="26" uniqueName="26" name="Jul-20" queryTableFieldId="26"/>
    <tableColumn id="27" uniqueName="27" name="Aug-202" queryTableFieldId="27"/>
    <tableColumn id="28" uniqueName="28" name="Sep-20" queryTableFieldId="28"/>
    <tableColumn id="29" uniqueName="29" name="Oct-20" queryTableFieldId="29"/>
    <tableColumn id="30" uniqueName="30" name="Nov-20" queryTableFieldId="30"/>
    <tableColumn id="31" uniqueName="31" name="Dec-20" queryTableField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87"/>
  <sheetViews>
    <sheetView tabSelected="1" workbookViewId="0">
      <selection activeCell="E6" sqref="E6"/>
    </sheetView>
  </sheetViews>
  <sheetFormatPr defaultRowHeight="15" x14ac:dyDescent="0.25"/>
  <cols>
    <col min="1" max="1" width="37.7109375" bestFit="1" customWidth="1"/>
    <col min="2" max="2" width="14.7109375" customWidth="1"/>
    <col min="3" max="3" width="17" bestFit="1" customWidth="1"/>
    <col min="4" max="5" width="28" bestFit="1" customWidth="1"/>
    <col min="6" max="13" width="10.85546875" bestFit="1" customWidth="1"/>
  </cols>
  <sheetData>
    <row r="2" spans="1:5" ht="18.75" x14ac:dyDescent="0.3">
      <c r="A2" s="3" t="s">
        <v>91</v>
      </c>
      <c r="B2" s="4" t="s">
        <v>55</v>
      </c>
    </row>
    <row r="3" spans="1:5" x14ac:dyDescent="0.25">
      <c r="C3" s="2"/>
    </row>
    <row r="5" spans="1:5" ht="18.75" x14ac:dyDescent="0.3">
      <c r="A5" s="8" t="s">
        <v>0</v>
      </c>
      <c r="B5" s="9" t="s">
        <v>51</v>
      </c>
      <c r="C5" s="9" t="s">
        <v>87</v>
      </c>
      <c r="D5" s="9" t="s">
        <v>92</v>
      </c>
      <c r="E5" s="9" t="s">
        <v>52</v>
      </c>
    </row>
    <row r="6" spans="1:5" x14ac:dyDescent="0.25">
      <c r="A6" s="6" t="s">
        <v>1</v>
      </c>
      <c r="B6" s="5">
        <f ca="1">SUM(Summary!$C6:$E6)</f>
        <v>111</v>
      </c>
      <c r="C6" s="5">
        <f t="shared" ref="C6:C37" ca="1" si="0">IFERROR(INDIRECT("Stillwater["&amp;$B$2&amp;"]"),"")</f>
        <v>0</v>
      </c>
      <c r="D6" s="5">
        <f t="shared" ref="D6:D37" ca="1" si="1">IFERROR(INDIRECT("TulsaMassStorage["&amp;$B$2&amp;"]"),"")</f>
        <v>0</v>
      </c>
      <c r="E6" s="5">
        <f t="shared" ref="E6:E37" ca="1" si="2">IFERROR(INDIRECT("Pryor["&amp;$B$2&amp;"]"),"")</f>
        <v>111</v>
      </c>
    </row>
    <row r="7" spans="1:5" x14ac:dyDescent="0.25">
      <c r="A7" s="11" t="s">
        <v>2</v>
      </c>
      <c r="B7" s="10">
        <f ca="1">SUM(Summary!$C7:$E7)</f>
        <v>112</v>
      </c>
      <c r="C7" s="10">
        <f t="shared" ca="1" si="0"/>
        <v>0</v>
      </c>
      <c r="D7" s="10">
        <f t="shared" ca="1" si="1"/>
        <v>0</v>
      </c>
      <c r="E7" s="12">
        <f t="shared" ca="1" si="2"/>
        <v>112</v>
      </c>
    </row>
    <row r="8" spans="1:5" x14ac:dyDescent="0.25">
      <c r="A8" s="6" t="s">
        <v>3</v>
      </c>
      <c r="B8" s="5">
        <f ca="1">SUM(Summary!$C8:$E8)</f>
        <v>113</v>
      </c>
      <c r="C8" s="5">
        <f t="shared" ca="1" si="0"/>
        <v>0</v>
      </c>
      <c r="D8" s="5">
        <f t="shared" ca="1" si="1"/>
        <v>0</v>
      </c>
      <c r="E8" s="7">
        <f t="shared" ca="1" si="2"/>
        <v>113</v>
      </c>
    </row>
    <row r="9" spans="1:5" x14ac:dyDescent="0.25">
      <c r="A9" s="11" t="s">
        <v>4</v>
      </c>
      <c r="B9" s="10">
        <f ca="1">SUM(Summary!$C9:$E9)</f>
        <v>114</v>
      </c>
      <c r="C9" s="10">
        <f t="shared" ca="1" si="0"/>
        <v>0</v>
      </c>
      <c r="D9" s="10">
        <f t="shared" ca="1" si="1"/>
        <v>0</v>
      </c>
      <c r="E9" s="12">
        <f t="shared" ca="1" si="2"/>
        <v>114</v>
      </c>
    </row>
    <row r="10" spans="1:5" x14ac:dyDescent="0.25">
      <c r="A10" s="6" t="s">
        <v>5</v>
      </c>
      <c r="B10" s="5">
        <f ca="1">SUM(Summary!$C10:$E10)</f>
        <v>115</v>
      </c>
      <c r="C10" s="5">
        <f t="shared" ca="1" si="0"/>
        <v>0</v>
      </c>
      <c r="D10" s="5">
        <f t="shared" ca="1" si="1"/>
        <v>0</v>
      </c>
      <c r="E10" s="7">
        <f t="shared" ca="1" si="2"/>
        <v>115</v>
      </c>
    </row>
    <row r="11" spans="1:5" x14ac:dyDescent="0.25">
      <c r="A11" s="10" t="s">
        <v>6</v>
      </c>
      <c r="B11" s="10">
        <f ca="1">SUM(Summary!$C11:$E11)</f>
        <v>116</v>
      </c>
      <c r="C11" s="10">
        <f t="shared" ca="1" si="0"/>
        <v>0</v>
      </c>
      <c r="D11" s="10">
        <f t="shared" ca="1" si="1"/>
        <v>0</v>
      </c>
      <c r="E11" s="12">
        <f t="shared" ca="1" si="2"/>
        <v>116</v>
      </c>
    </row>
    <row r="12" spans="1:5" x14ac:dyDescent="0.25">
      <c r="A12" s="6" t="s">
        <v>6</v>
      </c>
      <c r="B12" s="5">
        <f ca="1">SUM(Summary!$C12:$E12)</f>
        <v>0</v>
      </c>
      <c r="C12" s="5">
        <f t="shared" ca="1" si="0"/>
        <v>0</v>
      </c>
      <c r="D12" s="5">
        <f t="shared" ca="1" si="1"/>
        <v>0</v>
      </c>
      <c r="E12" s="7">
        <f t="shared" ca="1" si="2"/>
        <v>0</v>
      </c>
    </row>
    <row r="13" spans="1:5" x14ac:dyDescent="0.25">
      <c r="A13" s="11" t="s">
        <v>7</v>
      </c>
      <c r="B13" s="10">
        <f ca="1">SUM(Summary!$C13:$E13)</f>
        <v>0</v>
      </c>
      <c r="C13" s="10">
        <f t="shared" ca="1" si="0"/>
        <v>0</v>
      </c>
      <c r="D13" s="10">
        <f t="shared" ca="1" si="1"/>
        <v>0</v>
      </c>
      <c r="E13" s="12">
        <f t="shared" ca="1" si="2"/>
        <v>0</v>
      </c>
    </row>
    <row r="14" spans="1:5" x14ac:dyDescent="0.25">
      <c r="A14" s="6" t="s">
        <v>8</v>
      </c>
      <c r="B14" s="5">
        <f ca="1">SUM(Summary!$C14:$E14)</f>
        <v>0</v>
      </c>
      <c r="C14" s="5">
        <f t="shared" ca="1" si="0"/>
        <v>0</v>
      </c>
      <c r="D14" s="5">
        <f t="shared" ca="1" si="1"/>
        <v>0</v>
      </c>
      <c r="E14" s="7">
        <f t="shared" ca="1" si="2"/>
        <v>0</v>
      </c>
    </row>
    <row r="15" spans="1:5" x14ac:dyDescent="0.25">
      <c r="A15" s="11" t="s">
        <v>9</v>
      </c>
      <c r="B15" s="10">
        <f ca="1">SUM(Summary!$C15:$E15)</f>
        <v>0</v>
      </c>
      <c r="C15" s="10">
        <f t="shared" ca="1" si="0"/>
        <v>0</v>
      </c>
      <c r="D15" s="10">
        <f t="shared" ca="1" si="1"/>
        <v>0</v>
      </c>
      <c r="E15" s="12">
        <f t="shared" ca="1" si="2"/>
        <v>0</v>
      </c>
    </row>
    <row r="16" spans="1:5" x14ac:dyDescent="0.25">
      <c r="A16" s="6" t="s">
        <v>10</v>
      </c>
      <c r="B16" s="5">
        <f ca="1">SUM(Summary!$C16:$E16)</f>
        <v>0</v>
      </c>
      <c r="C16" s="5">
        <f t="shared" ca="1" si="0"/>
        <v>0</v>
      </c>
      <c r="D16" s="5">
        <f t="shared" ca="1" si="1"/>
        <v>0</v>
      </c>
      <c r="E16" s="7">
        <f t="shared" ca="1" si="2"/>
        <v>0</v>
      </c>
    </row>
    <row r="17" spans="1:5" x14ac:dyDescent="0.25">
      <c r="A17" s="10" t="s">
        <v>11</v>
      </c>
      <c r="B17" s="10">
        <f ca="1">SUM(Summary!$C17:$E17)</f>
        <v>0</v>
      </c>
      <c r="C17" s="10">
        <f t="shared" ca="1" si="0"/>
        <v>0</v>
      </c>
      <c r="D17" s="10">
        <f t="shared" ca="1" si="1"/>
        <v>0</v>
      </c>
      <c r="E17" s="12">
        <f t="shared" ca="1" si="2"/>
        <v>0</v>
      </c>
    </row>
    <row r="18" spans="1:5" x14ac:dyDescent="0.25">
      <c r="A18" s="6" t="s">
        <v>12</v>
      </c>
      <c r="B18" s="5">
        <f ca="1">SUM(Summary!$C18:$E18)</f>
        <v>0</v>
      </c>
      <c r="C18" s="5">
        <f t="shared" ca="1" si="0"/>
        <v>0</v>
      </c>
      <c r="D18" s="5">
        <f t="shared" ca="1" si="1"/>
        <v>0</v>
      </c>
      <c r="E18" s="7">
        <f t="shared" ca="1" si="2"/>
        <v>0</v>
      </c>
    </row>
    <row r="19" spans="1:5" x14ac:dyDescent="0.25">
      <c r="A19" s="11" t="s">
        <v>13</v>
      </c>
      <c r="B19" s="10">
        <f ca="1">SUM(Summary!$C19:$E19)</f>
        <v>0</v>
      </c>
      <c r="C19" s="10">
        <f t="shared" ca="1" si="0"/>
        <v>0</v>
      </c>
      <c r="D19" s="10">
        <f t="shared" ca="1" si="1"/>
        <v>0</v>
      </c>
      <c r="E19" s="12">
        <f t="shared" ca="1" si="2"/>
        <v>0</v>
      </c>
    </row>
    <row r="20" spans="1:5" x14ac:dyDescent="0.25">
      <c r="A20" s="6" t="s">
        <v>14</v>
      </c>
      <c r="B20" s="5">
        <f ca="1">SUM(Summary!$C20:$E20)</f>
        <v>0</v>
      </c>
      <c r="C20" s="5">
        <f t="shared" ca="1" si="0"/>
        <v>0</v>
      </c>
      <c r="D20" s="5">
        <f t="shared" ca="1" si="1"/>
        <v>0</v>
      </c>
      <c r="E20" s="7">
        <f t="shared" ca="1" si="2"/>
        <v>0</v>
      </c>
    </row>
    <row r="21" spans="1:5" x14ac:dyDescent="0.25">
      <c r="A21" s="11" t="s">
        <v>15</v>
      </c>
      <c r="B21" s="10">
        <f ca="1">SUM(Summary!$C21:$E21)</f>
        <v>0</v>
      </c>
      <c r="C21" s="10">
        <f t="shared" ca="1" si="0"/>
        <v>0</v>
      </c>
      <c r="D21" s="10">
        <f t="shared" ca="1" si="1"/>
        <v>0</v>
      </c>
      <c r="E21" s="12">
        <f t="shared" ca="1" si="2"/>
        <v>0</v>
      </c>
    </row>
    <row r="22" spans="1:5" x14ac:dyDescent="0.25">
      <c r="A22" s="6" t="s">
        <v>16</v>
      </c>
      <c r="B22" s="5">
        <f ca="1">SUM(Summary!$C22:$E22)</f>
        <v>0</v>
      </c>
      <c r="C22" s="5">
        <f t="shared" ca="1" si="0"/>
        <v>0</v>
      </c>
      <c r="D22" s="5">
        <f t="shared" ca="1" si="1"/>
        <v>0</v>
      </c>
      <c r="E22" s="7">
        <f t="shared" ca="1" si="2"/>
        <v>0</v>
      </c>
    </row>
    <row r="23" spans="1:5" x14ac:dyDescent="0.25">
      <c r="A23" s="10" t="s">
        <v>17</v>
      </c>
      <c r="B23" s="10">
        <f ca="1">SUM(Summary!$C23:$E23)</f>
        <v>0</v>
      </c>
      <c r="C23" s="10">
        <f t="shared" ca="1" si="0"/>
        <v>0</v>
      </c>
      <c r="D23" s="10">
        <f t="shared" ca="1" si="1"/>
        <v>0</v>
      </c>
      <c r="E23" s="12">
        <f t="shared" ca="1" si="2"/>
        <v>0</v>
      </c>
    </row>
    <row r="24" spans="1:5" x14ac:dyDescent="0.25">
      <c r="A24" s="6" t="s">
        <v>18</v>
      </c>
      <c r="B24" s="5">
        <f ca="1">SUM(Summary!$C24:$E24)</f>
        <v>0</v>
      </c>
      <c r="C24" s="5">
        <f t="shared" ca="1" si="0"/>
        <v>0</v>
      </c>
      <c r="D24" s="5">
        <f t="shared" ca="1" si="1"/>
        <v>0</v>
      </c>
      <c r="E24" s="7">
        <f t="shared" ca="1" si="2"/>
        <v>0</v>
      </c>
    </row>
    <row r="25" spans="1:5" x14ac:dyDescent="0.25">
      <c r="A25" s="11" t="s">
        <v>19</v>
      </c>
      <c r="B25" s="10">
        <f ca="1">SUM(Summary!$C25:$E25)</f>
        <v>0</v>
      </c>
      <c r="C25" s="10">
        <f t="shared" ca="1" si="0"/>
        <v>0</v>
      </c>
      <c r="D25" s="10">
        <f t="shared" ca="1" si="1"/>
        <v>0</v>
      </c>
      <c r="E25" s="12">
        <f t="shared" ca="1" si="2"/>
        <v>0</v>
      </c>
    </row>
    <row r="26" spans="1:5" x14ac:dyDescent="0.25">
      <c r="A26" s="6" t="s">
        <v>20</v>
      </c>
      <c r="B26" s="5">
        <f ca="1">SUM(Summary!$C26:$E26)</f>
        <v>0</v>
      </c>
      <c r="C26" s="5">
        <f t="shared" ca="1" si="0"/>
        <v>0</v>
      </c>
      <c r="D26" s="5">
        <f t="shared" ca="1" si="1"/>
        <v>0</v>
      </c>
      <c r="E26" s="7">
        <f t="shared" ca="1" si="2"/>
        <v>0</v>
      </c>
    </row>
    <row r="27" spans="1:5" x14ac:dyDescent="0.25">
      <c r="A27" s="11" t="s">
        <v>21</v>
      </c>
      <c r="B27" s="10">
        <f ca="1">SUM(Summary!$C27:$E27)</f>
        <v>0</v>
      </c>
      <c r="C27" s="10">
        <f t="shared" ca="1" si="0"/>
        <v>0</v>
      </c>
      <c r="D27" s="10">
        <f t="shared" ca="1" si="1"/>
        <v>0</v>
      </c>
      <c r="E27" s="12">
        <f t="shared" ca="1" si="2"/>
        <v>0</v>
      </c>
    </row>
    <row r="28" spans="1:5" x14ac:dyDescent="0.25">
      <c r="A28" s="5" t="s">
        <v>22</v>
      </c>
      <c r="B28" s="5">
        <f ca="1">SUM(Summary!$C28:$E28)</f>
        <v>0</v>
      </c>
      <c r="C28" s="5">
        <f t="shared" ca="1" si="0"/>
        <v>0</v>
      </c>
      <c r="D28" s="5">
        <f t="shared" ca="1" si="1"/>
        <v>0</v>
      </c>
      <c r="E28" s="7">
        <f t="shared" ca="1" si="2"/>
        <v>0</v>
      </c>
    </row>
    <row r="29" spans="1:5" x14ac:dyDescent="0.25">
      <c r="A29" s="11" t="s">
        <v>23</v>
      </c>
      <c r="B29" s="10">
        <f ca="1">SUM(Summary!$C29:$E29)</f>
        <v>0</v>
      </c>
      <c r="C29" s="10">
        <f t="shared" ca="1" si="0"/>
        <v>0</v>
      </c>
      <c r="D29" s="10">
        <f t="shared" ca="1" si="1"/>
        <v>0</v>
      </c>
      <c r="E29" s="12">
        <f t="shared" ca="1" si="2"/>
        <v>0</v>
      </c>
    </row>
    <row r="30" spans="1:5" x14ac:dyDescent="0.25">
      <c r="A30" s="5" t="s">
        <v>24</v>
      </c>
      <c r="B30" s="5">
        <f ca="1">SUM(Summary!$C30:$E30)</f>
        <v>0</v>
      </c>
      <c r="C30" s="5">
        <f t="shared" ca="1" si="0"/>
        <v>0</v>
      </c>
      <c r="D30" s="5">
        <f t="shared" ca="1" si="1"/>
        <v>0</v>
      </c>
      <c r="E30" s="7">
        <f t="shared" ca="1" si="2"/>
        <v>0</v>
      </c>
    </row>
    <row r="31" spans="1:5" x14ac:dyDescent="0.25">
      <c r="A31" s="11" t="s">
        <v>25</v>
      </c>
      <c r="B31" s="10">
        <f ca="1">SUM(Summary!$C31:$E31)</f>
        <v>0</v>
      </c>
      <c r="C31" s="10">
        <f t="shared" ca="1" si="0"/>
        <v>0</v>
      </c>
      <c r="D31" s="10">
        <f t="shared" ca="1" si="1"/>
        <v>0</v>
      </c>
      <c r="E31" s="12">
        <f t="shared" ca="1" si="2"/>
        <v>0</v>
      </c>
    </row>
    <row r="32" spans="1:5" x14ac:dyDescent="0.25">
      <c r="A32" s="6" t="s">
        <v>26</v>
      </c>
      <c r="B32" s="5">
        <f ca="1">SUM(Summary!$C32:$E32)</f>
        <v>0</v>
      </c>
      <c r="C32" s="5">
        <f t="shared" ca="1" si="0"/>
        <v>0</v>
      </c>
      <c r="D32" s="5">
        <f t="shared" ca="1" si="1"/>
        <v>0</v>
      </c>
      <c r="E32" s="7">
        <f t="shared" ca="1" si="2"/>
        <v>0</v>
      </c>
    </row>
    <row r="33" spans="1:5" x14ac:dyDescent="0.25">
      <c r="A33" s="11" t="s">
        <v>27</v>
      </c>
      <c r="B33" s="10">
        <f ca="1">SUM(Summary!$C33:$E33)</f>
        <v>0</v>
      </c>
      <c r="C33" s="10">
        <f t="shared" ca="1" si="0"/>
        <v>0</v>
      </c>
      <c r="D33" s="10">
        <f t="shared" ca="1" si="1"/>
        <v>0</v>
      </c>
      <c r="E33" s="12">
        <f t="shared" ca="1" si="2"/>
        <v>0</v>
      </c>
    </row>
    <row r="34" spans="1:5" x14ac:dyDescent="0.25">
      <c r="A34" s="6" t="s">
        <v>28</v>
      </c>
      <c r="B34" s="5">
        <f ca="1">SUM(Summary!$C34:$E34)</f>
        <v>0</v>
      </c>
      <c r="C34" s="5">
        <f t="shared" ca="1" si="0"/>
        <v>0</v>
      </c>
      <c r="D34" s="5">
        <f t="shared" ca="1" si="1"/>
        <v>0</v>
      </c>
      <c r="E34" s="7">
        <f t="shared" ca="1" si="2"/>
        <v>0</v>
      </c>
    </row>
    <row r="35" spans="1:5" x14ac:dyDescent="0.25">
      <c r="A35" s="11" t="s">
        <v>29</v>
      </c>
      <c r="B35" s="10">
        <f ca="1">SUM(Summary!$C35:$E35)</f>
        <v>0</v>
      </c>
      <c r="C35" s="10">
        <f t="shared" ca="1" si="0"/>
        <v>0</v>
      </c>
      <c r="D35" s="10">
        <f t="shared" ca="1" si="1"/>
        <v>0</v>
      </c>
      <c r="E35" s="12">
        <f t="shared" ca="1" si="2"/>
        <v>0</v>
      </c>
    </row>
    <row r="36" spans="1:5" x14ac:dyDescent="0.25">
      <c r="A36" s="6" t="s">
        <v>30</v>
      </c>
      <c r="B36" s="5">
        <f ca="1">SUM(Summary!$C36:$E36)</f>
        <v>0</v>
      </c>
      <c r="C36" s="5">
        <f t="shared" ca="1" si="0"/>
        <v>0</v>
      </c>
      <c r="D36" s="5">
        <f t="shared" ca="1" si="1"/>
        <v>0</v>
      </c>
      <c r="E36" s="7">
        <f t="shared" ca="1" si="2"/>
        <v>0</v>
      </c>
    </row>
    <row r="37" spans="1:5" x14ac:dyDescent="0.25">
      <c r="A37" s="11" t="s">
        <v>31</v>
      </c>
      <c r="B37" s="10">
        <f ca="1">SUM(Summary!$C37:$E37)</f>
        <v>0</v>
      </c>
      <c r="C37" s="10">
        <f t="shared" ca="1" si="0"/>
        <v>0</v>
      </c>
      <c r="D37" s="10">
        <f t="shared" ca="1" si="1"/>
        <v>0</v>
      </c>
      <c r="E37" s="12">
        <f t="shared" ca="1" si="2"/>
        <v>0</v>
      </c>
    </row>
    <row r="38" spans="1:5" x14ac:dyDescent="0.25">
      <c r="A38" s="6" t="s">
        <v>32</v>
      </c>
      <c r="B38" s="5">
        <f ca="1">SUM(Summary!$C38:$E38)</f>
        <v>0</v>
      </c>
      <c r="C38" s="5">
        <f t="shared" ref="C38:C56" ca="1" si="3">IFERROR(INDIRECT("Stillwater["&amp;$B$2&amp;"]"),"")</f>
        <v>0</v>
      </c>
      <c r="D38" s="5">
        <f t="shared" ref="D38:D56" ca="1" si="4">IFERROR(INDIRECT("TulsaMassStorage["&amp;$B$2&amp;"]"),"")</f>
        <v>0</v>
      </c>
      <c r="E38" s="7">
        <f t="shared" ref="E38:E56" ca="1" si="5">IFERROR(INDIRECT("Pryor["&amp;$B$2&amp;"]"),"")</f>
        <v>0</v>
      </c>
    </row>
    <row r="39" spans="1:5" x14ac:dyDescent="0.25">
      <c r="A39" s="11" t="s">
        <v>33</v>
      </c>
      <c r="B39" s="10">
        <f ca="1">SUM(Summary!$C39:$E39)</f>
        <v>0</v>
      </c>
      <c r="C39" s="10">
        <f t="shared" ca="1" si="3"/>
        <v>0</v>
      </c>
      <c r="D39" s="10">
        <f t="shared" ca="1" si="4"/>
        <v>0</v>
      </c>
      <c r="E39" s="12">
        <f t="shared" ca="1" si="5"/>
        <v>0</v>
      </c>
    </row>
    <row r="40" spans="1:5" x14ac:dyDescent="0.25">
      <c r="A40" s="6" t="s">
        <v>34</v>
      </c>
      <c r="B40" s="5">
        <f ca="1">SUM(Summary!$C40:$E40)</f>
        <v>0</v>
      </c>
      <c r="C40" s="5">
        <f t="shared" ca="1" si="3"/>
        <v>0</v>
      </c>
      <c r="D40" s="5">
        <f t="shared" ca="1" si="4"/>
        <v>0</v>
      </c>
      <c r="E40" s="7">
        <f t="shared" ca="1" si="5"/>
        <v>0</v>
      </c>
    </row>
    <row r="41" spans="1:5" x14ac:dyDescent="0.25">
      <c r="A41" s="11" t="s">
        <v>35</v>
      </c>
      <c r="B41" s="10">
        <f ca="1">SUM(Summary!$C41:$E41)</f>
        <v>0</v>
      </c>
      <c r="C41" s="10">
        <f t="shared" ca="1" si="3"/>
        <v>0</v>
      </c>
      <c r="D41" s="10">
        <f t="shared" ca="1" si="4"/>
        <v>0</v>
      </c>
      <c r="E41" s="12">
        <f t="shared" ca="1" si="5"/>
        <v>0</v>
      </c>
    </row>
    <row r="42" spans="1:5" x14ac:dyDescent="0.25">
      <c r="A42" s="6" t="s">
        <v>36</v>
      </c>
      <c r="B42" s="5">
        <f ca="1">SUM(Summary!$C42:$E42)</f>
        <v>0</v>
      </c>
      <c r="C42" s="5">
        <f t="shared" ca="1" si="3"/>
        <v>0</v>
      </c>
      <c r="D42" s="5">
        <f t="shared" ca="1" si="4"/>
        <v>0</v>
      </c>
      <c r="E42" s="7">
        <f t="shared" ca="1" si="5"/>
        <v>0</v>
      </c>
    </row>
    <row r="43" spans="1:5" x14ac:dyDescent="0.25">
      <c r="A43" s="11" t="s">
        <v>37</v>
      </c>
      <c r="B43" s="10">
        <f ca="1">SUM(Summary!$C43:$E43)</f>
        <v>0</v>
      </c>
      <c r="C43" s="10">
        <f t="shared" ca="1" si="3"/>
        <v>0</v>
      </c>
      <c r="D43" s="10">
        <f t="shared" ca="1" si="4"/>
        <v>0</v>
      </c>
      <c r="E43" s="12">
        <f t="shared" ca="1" si="5"/>
        <v>0</v>
      </c>
    </row>
    <row r="44" spans="1:5" x14ac:dyDescent="0.25">
      <c r="A44" s="5" t="s">
        <v>38</v>
      </c>
      <c r="B44" s="5">
        <f ca="1">SUM(Summary!$C44:$E44)</f>
        <v>0</v>
      </c>
      <c r="C44" s="5">
        <f t="shared" ca="1" si="3"/>
        <v>0</v>
      </c>
      <c r="D44" s="5">
        <f t="shared" ca="1" si="4"/>
        <v>0</v>
      </c>
      <c r="E44" s="7">
        <f t="shared" ca="1" si="5"/>
        <v>0</v>
      </c>
    </row>
    <row r="45" spans="1:5" x14ac:dyDescent="0.25">
      <c r="A45" s="11" t="s">
        <v>39</v>
      </c>
      <c r="B45" s="10">
        <f ca="1">SUM(Summary!$C45:$E45)</f>
        <v>0</v>
      </c>
      <c r="C45" s="10">
        <f t="shared" ca="1" si="3"/>
        <v>0</v>
      </c>
      <c r="D45" s="10">
        <f t="shared" ca="1" si="4"/>
        <v>0</v>
      </c>
      <c r="E45" s="12">
        <f t="shared" ca="1" si="5"/>
        <v>0</v>
      </c>
    </row>
    <row r="46" spans="1:5" x14ac:dyDescent="0.25">
      <c r="A46" s="6" t="s">
        <v>40</v>
      </c>
      <c r="B46" s="5">
        <f ca="1">SUM(Summary!$C46:$E46)</f>
        <v>0</v>
      </c>
      <c r="C46" s="5">
        <f t="shared" ca="1" si="3"/>
        <v>0</v>
      </c>
      <c r="D46" s="5">
        <f t="shared" ca="1" si="4"/>
        <v>0</v>
      </c>
      <c r="E46" s="7">
        <f t="shared" ca="1" si="5"/>
        <v>0</v>
      </c>
    </row>
    <row r="47" spans="1:5" x14ac:dyDescent="0.25">
      <c r="A47" s="11" t="s">
        <v>41</v>
      </c>
      <c r="B47" s="10">
        <f ca="1">SUM(Summary!$C47:$E47)</f>
        <v>0</v>
      </c>
      <c r="C47" s="10">
        <f t="shared" ca="1" si="3"/>
        <v>0</v>
      </c>
      <c r="D47" s="10">
        <f t="shared" ca="1" si="4"/>
        <v>0</v>
      </c>
      <c r="E47" s="12">
        <f t="shared" ca="1" si="5"/>
        <v>0</v>
      </c>
    </row>
    <row r="48" spans="1:5" x14ac:dyDescent="0.25">
      <c r="A48" s="6" t="s">
        <v>42</v>
      </c>
      <c r="B48" s="5">
        <f ca="1">SUM(Summary!$C48:$E48)</f>
        <v>0</v>
      </c>
      <c r="C48" s="5">
        <f t="shared" ca="1" si="3"/>
        <v>0</v>
      </c>
      <c r="D48" s="5">
        <f t="shared" ca="1" si="4"/>
        <v>0</v>
      </c>
      <c r="E48" s="7">
        <f t="shared" ca="1" si="5"/>
        <v>0</v>
      </c>
    </row>
    <row r="49" spans="1:5" x14ac:dyDescent="0.25">
      <c r="A49" s="10" t="s">
        <v>43</v>
      </c>
      <c r="B49" s="10">
        <f ca="1">SUM(Summary!$C49:$E49)</f>
        <v>0</v>
      </c>
      <c r="C49" s="10">
        <f t="shared" ca="1" si="3"/>
        <v>0</v>
      </c>
      <c r="D49" s="10">
        <f t="shared" ca="1" si="4"/>
        <v>0</v>
      </c>
      <c r="E49" s="12">
        <f t="shared" ca="1" si="5"/>
        <v>0</v>
      </c>
    </row>
    <row r="50" spans="1:5" x14ac:dyDescent="0.25">
      <c r="A50" s="5" t="s">
        <v>44</v>
      </c>
      <c r="B50" s="5">
        <f ca="1">SUM(Summary!$C50:$E50)</f>
        <v>0</v>
      </c>
      <c r="C50" s="5">
        <f t="shared" ca="1" si="3"/>
        <v>0</v>
      </c>
      <c r="D50" s="5">
        <f t="shared" ca="1" si="4"/>
        <v>0</v>
      </c>
      <c r="E50" s="7">
        <f t="shared" ca="1" si="5"/>
        <v>0</v>
      </c>
    </row>
    <row r="51" spans="1:5" x14ac:dyDescent="0.25">
      <c r="A51" s="11" t="s">
        <v>45</v>
      </c>
      <c r="B51" s="10">
        <f ca="1">SUM(Summary!$C51:$E51)</f>
        <v>0</v>
      </c>
      <c r="C51" s="10">
        <f t="shared" ca="1" si="3"/>
        <v>0</v>
      </c>
      <c r="D51" s="10">
        <f t="shared" ca="1" si="4"/>
        <v>0</v>
      </c>
      <c r="E51" s="12">
        <f t="shared" ca="1" si="5"/>
        <v>0</v>
      </c>
    </row>
    <row r="52" spans="1:5" x14ac:dyDescent="0.25">
      <c r="A52" s="5" t="s">
        <v>46</v>
      </c>
      <c r="B52" s="5">
        <f ca="1">SUM(Summary!$C52:$E52)</f>
        <v>0</v>
      </c>
      <c r="C52" s="5">
        <f t="shared" ca="1" si="3"/>
        <v>0</v>
      </c>
      <c r="D52" s="5">
        <f t="shared" ca="1" si="4"/>
        <v>0</v>
      </c>
      <c r="E52" s="7">
        <f t="shared" ca="1" si="5"/>
        <v>0</v>
      </c>
    </row>
    <row r="53" spans="1:5" x14ac:dyDescent="0.25">
      <c r="A53" s="11" t="s">
        <v>47</v>
      </c>
      <c r="B53" s="10">
        <f ca="1">SUM(Summary!$C53:$E53)</f>
        <v>0</v>
      </c>
      <c r="C53" s="10">
        <f t="shared" ca="1" si="3"/>
        <v>0</v>
      </c>
      <c r="D53" s="10">
        <f t="shared" ca="1" si="4"/>
        <v>0</v>
      </c>
      <c r="E53" s="12">
        <f t="shared" ca="1" si="5"/>
        <v>0</v>
      </c>
    </row>
    <row r="54" spans="1:5" x14ac:dyDescent="0.25">
      <c r="A54" s="6" t="s">
        <v>48</v>
      </c>
      <c r="B54" s="5">
        <f ca="1">SUM(Summary!$C54:$E54)</f>
        <v>0</v>
      </c>
      <c r="C54" s="5">
        <f t="shared" ca="1" si="3"/>
        <v>0</v>
      </c>
      <c r="D54" s="5">
        <f t="shared" ca="1" si="4"/>
        <v>0</v>
      </c>
      <c r="E54" s="7">
        <f t="shared" ca="1" si="5"/>
        <v>0</v>
      </c>
    </row>
    <row r="55" spans="1:5" x14ac:dyDescent="0.25">
      <c r="A55" s="11" t="s">
        <v>49</v>
      </c>
      <c r="B55" s="10">
        <f ca="1">SUM(Summary!$C55:$E55)</f>
        <v>0</v>
      </c>
      <c r="C55" s="10">
        <f t="shared" ca="1" si="3"/>
        <v>0</v>
      </c>
      <c r="D55" s="10">
        <f t="shared" ca="1" si="4"/>
        <v>0</v>
      </c>
      <c r="E55" s="12">
        <f t="shared" ca="1" si="5"/>
        <v>0</v>
      </c>
    </row>
    <row r="56" spans="1:5" x14ac:dyDescent="0.25">
      <c r="A56" s="6" t="s">
        <v>50</v>
      </c>
      <c r="B56" s="5">
        <f ca="1">SUM(Summary!$C56:$E56)</f>
        <v>0</v>
      </c>
      <c r="C56" s="5">
        <f t="shared" ca="1" si="3"/>
        <v>0</v>
      </c>
      <c r="D56" s="5">
        <f t="shared" ca="1" si="4"/>
        <v>0</v>
      </c>
      <c r="E56" s="7">
        <f t="shared" ca="1" si="5"/>
        <v>0</v>
      </c>
    </row>
    <row r="57" spans="1:5" x14ac:dyDescent="0.25">
      <c r="C57" t="str">
        <f t="shared" ref="C57:C87" ca="1" si="6">IFERROR(INDIRECT("Inventory["&amp;$B$2&amp;"]"),"")</f>
        <v/>
      </c>
      <c r="D57" t="str">
        <f t="shared" ref="D57:D87" ca="1" si="7">IFERROR(INDIRECT("Inventory__2["&amp;$B$2&amp;"]"),"")</f>
        <v/>
      </c>
    </row>
    <row r="58" spans="1:5" x14ac:dyDescent="0.25">
      <c r="C58" t="str">
        <f t="shared" ca="1" si="6"/>
        <v/>
      </c>
      <c r="D58" t="str">
        <f t="shared" ca="1" si="7"/>
        <v/>
      </c>
    </row>
    <row r="59" spans="1:5" x14ac:dyDescent="0.25">
      <c r="C59" t="str">
        <f t="shared" ca="1" si="6"/>
        <v/>
      </c>
      <c r="D59" t="str">
        <f t="shared" ca="1" si="7"/>
        <v/>
      </c>
    </row>
    <row r="60" spans="1:5" x14ac:dyDescent="0.25">
      <c r="C60" t="str">
        <f t="shared" ca="1" si="6"/>
        <v/>
      </c>
      <c r="D60" t="str">
        <f t="shared" ca="1" si="7"/>
        <v/>
      </c>
    </row>
    <row r="61" spans="1:5" x14ac:dyDescent="0.25">
      <c r="C61" t="str">
        <f t="shared" ca="1" si="6"/>
        <v/>
      </c>
      <c r="D61" t="str">
        <f t="shared" ca="1" si="7"/>
        <v/>
      </c>
    </row>
    <row r="62" spans="1:5" x14ac:dyDescent="0.25">
      <c r="C62" t="str">
        <f t="shared" ca="1" si="6"/>
        <v/>
      </c>
      <c r="D62" t="str">
        <f t="shared" ca="1" si="7"/>
        <v/>
      </c>
    </row>
    <row r="63" spans="1:5" x14ac:dyDescent="0.25">
      <c r="C63" t="str">
        <f t="shared" ca="1" si="6"/>
        <v/>
      </c>
      <c r="D63" t="str">
        <f t="shared" ca="1" si="7"/>
        <v/>
      </c>
    </row>
    <row r="64" spans="1:5" x14ac:dyDescent="0.25">
      <c r="C64" t="str">
        <f t="shared" ca="1" si="6"/>
        <v/>
      </c>
      <c r="D64" t="str">
        <f t="shared" ca="1" si="7"/>
        <v/>
      </c>
    </row>
    <row r="65" spans="3:4" x14ac:dyDescent="0.25">
      <c r="C65" t="str">
        <f t="shared" ca="1" si="6"/>
        <v/>
      </c>
      <c r="D65" t="str">
        <f t="shared" ca="1" si="7"/>
        <v/>
      </c>
    </row>
    <row r="66" spans="3:4" x14ac:dyDescent="0.25">
      <c r="C66" t="str">
        <f t="shared" ca="1" si="6"/>
        <v/>
      </c>
      <c r="D66" t="str">
        <f t="shared" ca="1" si="7"/>
        <v/>
      </c>
    </row>
    <row r="67" spans="3:4" x14ac:dyDescent="0.25">
      <c r="C67" t="str">
        <f t="shared" ca="1" si="6"/>
        <v/>
      </c>
      <c r="D67" t="str">
        <f t="shared" ca="1" si="7"/>
        <v/>
      </c>
    </row>
    <row r="68" spans="3:4" x14ac:dyDescent="0.25">
      <c r="C68" t="str">
        <f t="shared" ca="1" si="6"/>
        <v/>
      </c>
      <c r="D68" t="str">
        <f t="shared" ca="1" si="7"/>
        <v/>
      </c>
    </row>
    <row r="69" spans="3:4" x14ac:dyDescent="0.25">
      <c r="C69" t="str">
        <f t="shared" ca="1" si="6"/>
        <v/>
      </c>
      <c r="D69" t="str">
        <f t="shared" ca="1" si="7"/>
        <v/>
      </c>
    </row>
    <row r="70" spans="3:4" x14ac:dyDescent="0.25">
      <c r="C70" t="str">
        <f t="shared" ca="1" si="6"/>
        <v/>
      </c>
      <c r="D70" t="str">
        <f t="shared" ca="1" si="7"/>
        <v/>
      </c>
    </row>
    <row r="71" spans="3:4" x14ac:dyDescent="0.25">
      <c r="C71" t="str">
        <f t="shared" ca="1" si="6"/>
        <v/>
      </c>
      <c r="D71" t="str">
        <f t="shared" ca="1" si="7"/>
        <v/>
      </c>
    </row>
    <row r="72" spans="3:4" x14ac:dyDescent="0.25">
      <c r="C72" t="str">
        <f t="shared" ca="1" si="6"/>
        <v/>
      </c>
      <c r="D72" t="str">
        <f t="shared" ca="1" si="7"/>
        <v/>
      </c>
    </row>
    <row r="73" spans="3:4" x14ac:dyDescent="0.25">
      <c r="C73" t="str">
        <f t="shared" ca="1" si="6"/>
        <v/>
      </c>
      <c r="D73" t="str">
        <f t="shared" ca="1" si="7"/>
        <v/>
      </c>
    </row>
    <row r="74" spans="3:4" x14ac:dyDescent="0.25">
      <c r="C74" t="str">
        <f t="shared" ca="1" si="6"/>
        <v/>
      </c>
      <c r="D74" t="str">
        <f t="shared" ca="1" si="7"/>
        <v/>
      </c>
    </row>
    <row r="75" spans="3:4" x14ac:dyDescent="0.25">
      <c r="C75" t="str">
        <f t="shared" ca="1" si="6"/>
        <v/>
      </c>
      <c r="D75" t="str">
        <f t="shared" ca="1" si="7"/>
        <v/>
      </c>
    </row>
    <row r="76" spans="3:4" x14ac:dyDescent="0.25">
      <c r="C76" t="str">
        <f t="shared" ca="1" si="6"/>
        <v/>
      </c>
      <c r="D76" t="str">
        <f t="shared" ca="1" si="7"/>
        <v/>
      </c>
    </row>
    <row r="77" spans="3:4" x14ac:dyDescent="0.25">
      <c r="C77" t="str">
        <f t="shared" ca="1" si="6"/>
        <v/>
      </c>
      <c r="D77" t="str">
        <f t="shared" ca="1" si="7"/>
        <v/>
      </c>
    </row>
    <row r="78" spans="3:4" x14ac:dyDescent="0.25">
      <c r="C78" t="str">
        <f t="shared" ca="1" si="6"/>
        <v/>
      </c>
      <c r="D78" t="str">
        <f t="shared" ca="1" si="7"/>
        <v/>
      </c>
    </row>
    <row r="79" spans="3:4" x14ac:dyDescent="0.25">
      <c r="C79" t="str">
        <f t="shared" ca="1" si="6"/>
        <v/>
      </c>
      <c r="D79" t="str">
        <f t="shared" ca="1" si="7"/>
        <v/>
      </c>
    </row>
    <row r="80" spans="3:4" x14ac:dyDescent="0.25">
      <c r="C80" t="str">
        <f t="shared" ca="1" si="6"/>
        <v/>
      </c>
      <c r="D80" t="str">
        <f t="shared" ca="1" si="7"/>
        <v/>
      </c>
    </row>
    <row r="81" spans="3:4" x14ac:dyDescent="0.25">
      <c r="C81" t="str">
        <f t="shared" ca="1" si="6"/>
        <v/>
      </c>
      <c r="D81" t="str">
        <f t="shared" ca="1" si="7"/>
        <v/>
      </c>
    </row>
    <row r="82" spans="3:4" x14ac:dyDescent="0.25">
      <c r="C82" t="str">
        <f t="shared" ca="1" si="6"/>
        <v/>
      </c>
      <c r="D82" t="str">
        <f t="shared" ca="1" si="7"/>
        <v/>
      </c>
    </row>
    <row r="83" spans="3:4" x14ac:dyDescent="0.25">
      <c r="C83" t="str">
        <f t="shared" ca="1" si="6"/>
        <v/>
      </c>
      <c r="D83" t="str">
        <f t="shared" ca="1" si="7"/>
        <v/>
      </c>
    </row>
    <row r="84" spans="3:4" x14ac:dyDescent="0.25">
      <c r="C84" t="str">
        <f t="shared" ca="1" si="6"/>
        <v/>
      </c>
      <c r="D84" t="str">
        <f t="shared" ca="1" si="7"/>
        <v/>
      </c>
    </row>
    <row r="85" spans="3:4" x14ac:dyDescent="0.25">
      <c r="C85" t="str">
        <f t="shared" ca="1" si="6"/>
        <v/>
      </c>
      <c r="D85" t="str">
        <f t="shared" ca="1" si="7"/>
        <v/>
      </c>
    </row>
    <row r="86" spans="3:4" x14ac:dyDescent="0.25">
      <c r="C86" t="str">
        <f t="shared" ca="1" si="6"/>
        <v/>
      </c>
      <c r="D86" t="str">
        <f t="shared" ca="1" si="7"/>
        <v/>
      </c>
    </row>
    <row r="87" spans="3:4" x14ac:dyDescent="0.25">
      <c r="C87" t="str">
        <f t="shared" ca="1" si="6"/>
        <v/>
      </c>
      <c r="D87" t="str">
        <f t="shared" ca="1" si="7"/>
        <v/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Controls!$H$2:$H$14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6"/>
  <sheetViews>
    <sheetView workbookViewId="0">
      <selection activeCell="K6" sqref="K6"/>
    </sheetView>
  </sheetViews>
  <sheetFormatPr defaultRowHeight="15" x14ac:dyDescent="0.25"/>
  <cols>
    <col min="1" max="1" width="37.7109375" bestFit="1" customWidth="1"/>
  </cols>
  <sheetData>
    <row r="1" spans="1:8" x14ac:dyDescent="0.25">
      <c r="A1" t="s">
        <v>0</v>
      </c>
      <c r="H1" t="s">
        <v>53</v>
      </c>
    </row>
    <row r="2" spans="1:8" x14ac:dyDescent="0.25">
      <c r="A2" s="1" t="s">
        <v>1</v>
      </c>
      <c r="H2" s="2" t="s">
        <v>88</v>
      </c>
    </row>
    <row r="3" spans="1:8" x14ac:dyDescent="0.25">
      <c r="A3" s="1" t="s">
        <v>2</v>
      </c>
      <c r="H3" s="2" t="s">
        <v>54</v>
      </c>
    </row>
    <row r="4" spans="1:8" x14ac:dyDescent="0.25">
      <c r="A4" s="1" t="s">
        <v>3</v>
      </c>
      <c r="H4" s="2" t="s">
        <v>55</v>
      </c>
    </row>
    <row r="5" spans="1:8" x14ac:dyDescent="0.25">
      <c r="A5" s="1" t="s">
        <v>4</v>
      </c>
      <c r="H5" s="2" t="s">
        <v>56</v>
      </c>
    </row>
    <row r="6" spans="1:8" x14ac:dyDescent="0.25">
      <c r="A6" s="1" t="s">
        <v>5</v>
      </c>
      <c r="H6" s="2" t="s">
        <v>57</v>
      </c>
    </row>
    <row r="7" spans="1:8" x14ac:dyDescent="0.25">
      <c r="A7" s="1" t="s">
        <v>6</v>
      </c>
      <c r="H7" s="2" t="s">
        <v>58</v>
      </c>
    </row>
    <row r="8" spans="1:8" x14ac:dyDescent="0.25">
      <c r="A8" s="1" t="s">
        <v>6</v>
      </c>
      <c r="H8" s="2" t="s">
        <v>59</v>
      </c>
    </row>
    <row r="9" spans="1:8" x14ac:dyDescent="0.25">
      <c r="A9" s="1" t="s">
        <v>7</v>
      </c>
      <c r="H9" s="2" t="s">
        <v>60</v>
      </c>
    </row>
    <row r="10" spans="1:8" x14ac:dyDescent="0.25">
      <c r="A10" s="1" t="s">
        <v>8</v>
      </c>
      <c r="H10" s="2" t="s">
        <v>61</v>
      </c>
    </row>
    <row r="11" spans="1:8" x14ac:dyDescent="0.25">
      <c r="A11" s="1" t="s">
        <v>9</v>
      </c>
      <c r="H11" s="2" t="s">
        <v>62</v>
      </c>
    </row>
    <row r="12" spans="1:8" x14ac:dyDescent="0.25">
      <c r="A12" s="1" t="s">
        <v>10</v>
      </c>
      <c r="H12" s="2" t="s">
        <v>63</v>
      </c>
    </row>
    <row r="13" spans="1:8" x14ac:dyDescent="0.25">
      <c r="A13" s="1" t="s">
        <v>11</v>
      </c>
      <c r="H13" s="2" t="s">
        <v>64</v>
      </c>
    </row>
    <row r="14" spans="1:8" x14ac:dyDescent="0.25">
      <c r="A14" s="1" t="s">
        <v>12</v>
      </c>
      <c r="H14" s="2" t="s">
        <v>65</v>
      </c>
    </row>
    <row r="15" spans="1:8" x14ac:dyDescent="0.25">
      <c r="A15" s="1" t="s">
        <v>13</v>
      </c>
      <c r="H15" s="2" t="s">
        <v>66</v>
      </c>
    </row>
    <row r="16" spans="1:8" x14ac:dyDescent="0.25">
      <c r="A16" s="1" t="s">
        <v>14</v>
      </c>
      <c r="H16" s="2" t="s">
        <v>67</v>
      </c>
    </row>
    <row r="17" spans="1:8" x14ac:dyDescent="0.25">
      <c r="A17" s="1" t="s">
        <v>15</v>
      </c>
      <c r="H17" s="2" t="s">
        <v>68</v>
      </c>
    </row>
    <row r="18" spans="1:8" x14ac:dyDescent="0.25">
      <c r="A18" s="1" t="s">
        <v>16</v>
      </c>
      <c r="H18" s="2" t="s">
        <v>69</v>
      </c>
    </row>
    <row r="19" spans="1:8" x14ac:dyDescent="0.25">
      <c r="A19" s="1" t="s">
        <v>17</v>
      </c>
      <c r="H19" s="2" t="s">
        <v>70</v>
      </c>
    </row>
    <row r="20" spans="1:8" x14ac:dyDescent="0.25">
      <c r="A20" s="1" t="s">
        <v>18</v>
      </c>
      <c r="H20" s="2" t="s">
        <v>71</v>
      </c>
    </row>
    <row r="21" spans="1:8" x14ac:dyDescent="0.25">
      <c r="A21" s="1" t="s">
        <v>19</v>
      </c>
      <c r="H21" s="2" t="s">
        <v>72</v>
      </c>
    </row>
    <row r="22" spans="1:8" x14ac:dyDescent="0.25">
      <c r="A22" s="1" t="s">
        <v>20</v>
      </c>
      <c r="H22" s="2" t="s">
        <v>73</v>
      </c>
    </row>
    <row r="23" spans="1:8" x14ac:dyDescent="0.25">
      <c r="A23" s="1" t="s">
        <v>21</v>
      </c>
      <c r="H23" s="2" t="s">
        <v>74</v>
      </c>
    </row>
    <row r="24" spans="1:8" x14ac:dyDescent="0.25">
      <c r="A24" s="1" t="s">
        <v>22</v>
      </c>
      <c r="H24" s="2" t="s">
        <v>75</v>
      </c>
    </row>
    <row r="25" spans="1:8" x14ac:dyDescent="0.25">
      <c r="A25" s="1" t="s">
        <v>23</v>
      </c>
      <c r="H25" s="2" t="s">
        <v>76</v>
      </c>
    </row>
    <row r="26" spans="1:8" x14ac:dyDescent="0.25">
      <c r="A26" s="1" t="s">
        <v>24</v>
      </c>
      <c r="H26" s="2" t="s">
        <v>77</v>
      </c>
    </row>
    <row r="27" spans="1:8" x14ac:dyDescent="0.25">
      <c r="A27" s="1" t="s">
        <v>25</v>
      </c>
      <c r="H27" s="2" t="s">
        <v>89</v>
      </c>
    </row>
    <row r="28" spans="1:8" x14ac:dyDescent="0.25">
      <c r="A28" s="1" t="s">
        <v>26</v>
      </c>
      <c r="H28" s="2" t="s">
        <v>90</v>
      </c>
    </row>
    <row r="29" spans="1:8" x14ac:dyDescent="0.25">
      <c r="A29" s="1" t="s">
        <v>27</v>
      </c>
      <c r="H29" s="2" t="s">
        <v>80</v>
      </c>
    </row>
    <row r="30" spans="1:8" x14ac:dyDescent="0.25">
      <c r="A30" s="1" t="s">
        <v>28</v>
      </c>
      <c r="H30" s="2" t="s">
        <v>81</v>
      </c>
    </row>
    <row r="31" spans="1:8" x14ac:dyDescent="0.25">
      <c r="A31" s="1" t="s">
        <v>29</v>
      </c>
      <c r="H31" s="2" t="s">
        <v>82</v>
      </c>
    </row>
    <row r="32" spans="1:8" x14ac:dyDescent="0.25">
      <c r="A32" s="1" t="s">
        <v>30</v>
      </c>
    </row>
    <row r="33" spans="1:1" x14ac:dyDescent="0.25">
      <c r="A33" s="1" t="s">
        <v>31</v>
      </c>
    </row>
    <row r="34" spans="1:1" x14ac:dyDescent="0.25">
      <c r="A34" s="1" t="s">
        <v>32</v>
      </c>
    </row>
    <row r="35" spans="1:1" x14ac:dyDescent="0.25">
      <c r="A35" s="1" t="s">
        <v>33</v>
      </c>
    </row>
    <row r="36" spans="1:1" x14ac:dyDescent="0.25">
      <c r="A36" s="1" t="s">
        <v>34</v>
      </c>
    </row>
    <row r="37" spans="1:1" x14ac:dyDescent="0.25">
      <c r="A37" s="1" t="s">
        <v>35</v>
      </c>
    </row>
    <row r="38" spans="1:1" x14ac:dyDescent="0.25">
      <c r="A38" s="1" t="s">
        <v>36</v>
      </c>
    </row>
    <row r="39" spans="1:1" x14ac:dyDescent="0.25">
      <c r="A39" s="1" t="s">
        <v>37</v>
      </c>
    </row>
    <row r="40" spans="1:1" x14ac:dyDescent="0.25">
      <c r="A40" s="1" t="s">
        <v>38</v>
      </c>
    </row>
    <row r="41" spans="1:1" x14ac:dyDescent="0.25">
      <c r="A41" s="1" t="s">
        <v>39</v>
      </c>
    </row>
    <row r="42" spans="1:1" x14ac:dyDescent="0.25">
      <c r="A42" s="1" t="s">
        <v>40</v>
      </c>
    </row>
    <row r="43" spans="1:1" x14ac:dyDescent="0.25">
      <c r="A43" s="1" t="s">
        <v>41</v>
      </c>
    </row>
    <row r="44" spans="1:1" x14ac:dyDescent="0.25">
      <c r="A44" s="1" t="s">
        <v>42</v>
      </c>
    </row>
    <row r="45" spans="1:1" x14ac:dyDescent="0.25">
      <c r="A45" s="1" t="s">
        <v>43</v>
      </c>
    </row>
    <row r="46" spans="1:1" x14ac:dyDescent="0.25">
      <c r="A46" s="1" t="s">
        <v>44</v>
      </c>
    </row>
    <row r="47" spans="1:1" x14ac:dyDescent="0.25">
      <c r="A47" s="1" t="s">
        <v>45</v>
      </c>
    </row>
    <row r="48" spans="1:1" x14ac:dyDescent="0.25">
      <c r="A48" s="1" t="s">
        <v>46</v>
      </c>
    </row>
    <row r="49" spans="1:1" x14ac:dyDescent="0.25">
      <c r="A49" s="1" t="s">
        <v>47</v>
      </c>
    </row>
    <row r="50" spans="1:1" x14ac:dyDescent="0.25">
      <c r="A50" s="1" t="s">
        <v>48</v>
      </c>
    </row>
    <row r="51" spans="1:1" x14ac:dyDescent="0.25">
      <c r="A51" s="1" t="s">
        <v>49</v>
      </c>
    </row>
    <row r="52" spans="1:1" x14ac:dyDescent="0.25">
      <c r="A52" s="1" t="s">
        <v>50</v>
      </c>
    </row>
    <row r="53" spans="1:1" x14ac:dyDescent="0.25">
      <c r="A53" s="1" t="s">
        <v>83</v>
      </c>
    </row>
    <row r="54" spans="1:1" x14ac:dyDescent="0.25">
      <c r="A54" s="1" t="s">
        <v>84</v>
      </c>
    </row>
    <row r="55" spans="1:1" x14ac:dyDescent="0.25">
      <c r="A55" s="1" t="s">
        <v>85</v>
      </c>
    </row>
    <row r="56" spans="1:1" x14ac:dyDescent="0.25">
      <c r="A56" s="1" t="s">
        <v>86</v>
      </c>
    </row>
  </sheetData>
  <dataConsolidate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ummaryItems">
                <anchor moveWithCells="1" sizeWithCells="1">
                  <from>
                    <xdr:col>2</xdr:col>
                    <xdr:colOff>9525</xdr:colOff>
                    <xdr:row>3</xdr:row>
                    <xdr:rowOff>28575</xdr:rowOff>
                  </from>
                  <to>
                    <xdr:col>4</xdr:col>
                    <xdr:colOff>571500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E60"/>
  <sheetViews>
    <sheetView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1" sqref="B1:B1048576"/>
    </sheetView>
  </sheetViews>
  <sheetFormatPr defaultRowHeight="15" x14ac:dyDescent="0.25"/>
  <cols>
    <col min="1" max="1" width="27.42578125" bestFit="1" customWidth="1"/>
    <col min="2" max="2" width="8.28515625" bestFit="1" customWidth="1"/>
    <col min="3" max="3" width="9.28515625" bestFit="1" customWidth="1"/>
    <col min="4" max="4" width="9.140625" bestFit="1" customWidth="1"/>
    <col min="5" max="5" width="8.85546875" bestFit="1" customWidth="1"/>
    <col min="6" max="6" width="9.42578125" bestFit="1" customWidth="1"/>
    <col min="7" max="7" width="9.140625" bestFit="1" customWidth="1"/>
    <col min="8" max="8" width="8.7109375" bestFit="1" customWidth="1"/>
    <col min="9" max="9" width="9.140625" bestFit="1" customWidth="1"/>
    <col min="10" max="10" width="9.42578125" bestFit="1" customWidth="1"/>
    <col min="11" max="11" width="9" bestFit="1" customWidth="1"/>
    <col min="12" max="12" width="9.7109375" bestFit="1" customWidth="1"/>
    <col min="13" max="13" width="8.85546875" bestFit="1" customWidth="1"/>
    <col min="14" max="14" width="8.28515625" bestFit="1" customWidth="1"/>
    <col min="15" max="15" width="9.28515625" bestFit="1" customWidth="1"/>
    <col min="16" max="16" width="9.140625" bestFit="1" customWidth="1"/>
    <col min="17" max="17" width="8.85546875" bestFit="1" customWidth="1"/>
    <col min="18" max="18" width="9.42578125" bestFit="1" customWidth="1"/>
    <col min="19" max="19" width="9.140625" bestFit="1" customWidth="1"/>
    <col min="20" max="20" width="8.7109375" bestFit="1" customWidth="1"/>
    <col min="21" max="21" width="9.140625" bestFit="1" customWidth="1"/>
    <col min="22" max="22" width="9.42578125" bestFit="1" customWidth="1"/>
    <col min="23" max="23" width="9" bestFit="1" customWidth="1"/>
    <col min="24" max="24" width="9.7109375" bestFit="1" customWidth="1"/>
    <col min="25" max="25" width="8.85546875" bestFit="1" customWidth="1"/>
    <col min="26" max="26" width="8.28515625" bestFit="1" customWidth="1"/>
    <col min="27" max="27" width="10.28515625" bestFit="1" customWidth="1"/>
    <col min="28" max="28" width="9.140625" bestFit="1" customWidth="1"/>
    <col min="29" max="29" width="8.85546875" bestFit="1" customWidth="1"/>
    <col min="30" max="30" width="9.42578125" bestFit="1" customWidth="1"/>
    <col min="31" max="31" width="9.140625" bestFit="1" customWidth="1"/>
  </cols>
  <sheetData>
    <row r="2" spans="1:31" x14ac:dyDescent="0.25">
      <c r="A2" t="s">
        <v>87</v>
      </c>
    </row>
    <row r="5" spans="1:31" x14ac:dyDescent="0.25">
      <c r="A5" t="s">
        <v>0</v>
      </c>
      <c r="B5" s="2" t="s">
        <v>88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  <c r="J5" t="s">
        <v>61</v>
      </c>
      <c r="K5" t="s">
        <v>62</v>
      </c>
      <c r="L5" t="s">
        <v>63</v>
      </c>
      <c r="M5" t="s">
        <v>64</v>
      </c>
      <c r="N5" t="s">
        <v>65</v>
      </c>
      <c r="O5" t="s">
        <v>66</v>
      </c>
      <c r="P5" t="s">
        <v>67</v>
      </c>
      <c r="Q5" t="s">
        <v>68</v>
      </c>
      <c r="R5" t="s">
        <v>69</v>
      </c>
      <c r="S5" t="s">
        <v>70</v>
      </c>
      <c r="T5" t="s">
        <v>71</v>
      </c>
      <c r="U5" t="s">
        <v>72</v>
      </c>
      <c r="V5" t="s">
        <v>73</v>
      </c>
      <c r="W5" t="s">
        <v>74</v>
      </c>
      <c r="X5" t="s">
        <v>75</v>
      </c>
      <c r="Y5" t="s">
        <v>76</v>
      </c>
      <c r="Z5" t="s">
        <v>77</v>
      </c>
      <c r="AA5" t="s">
        <v>78</v>
      </c>
      <c r="AB5" t="s">
        <v>79</v>
      </c>
      <c r="AC5" t="s">
        <v>80</v>
      </c>
      <c r="AD5" t="s">
        <v>81</v>
      </c>
      <c r="AE5" t="s">
        <v>82</v>
      </c>
    </row>
    <row r="6" spans="1:31" x14ac:dyDescent="0.25">
      <c r="A6" s="1" t="s">
        <v>1</v>
      </c>
    </row>
    <row r="7" spans="1:31" x14ac:dyDescent="0.25">
      <c r="A7" s="1" t="s">
        <v>2</v>
      </c>
    </row>
    <row r="8" spans="1:31" x14ac:dyDescent="0.25">
      <c r="A8" s="1" t="s">
        <v>3</v>
      </c>
    </row>
    <row r="9" spans="1:31" x14ac:dyDescent="0.25">
      <c r="A9" s="1" t="s">
        <v>4</v>
      </c>
    </row>
    <row r="10" spans="1:31" x14ac:dyDescent="0.25">
      <c r="A10" s="1" t="s">
        <v>5</v>
      </c>
    </row>
    <row r="11" spans="1:31" x14ac:dyDescent="0.25">
      <c r="A11" s="1" t="s">
        <v>6</v>
      </c>
    </row>
    <row r="12" spans="1:31" x14ac:dyDescent="0.25">
      <c r="A12" s="1" t="s">
        <v>6</v>
      </c>
      <c r="H12" s="1"/>
    </row>
    <row r="13" spans="1:31" x14ac:dyDescent="0.25">
      <c r="A13" s="1" t="s">
        <v>7</v>
      </c>
      <c r="H13" s="1"/>
    </row>
    <row r="14" spans="1:31" x14ac:dyDescent="0.25">
      <c r="A14" s="1" t="s">
        <v>8</v>
      </c>
      <c r="H14" s="1"/>
    </row>
    <row r="15" spans="1:31" x14ac:dyDescent="0.25">
      <c r="A15" s="1" t="s">
        <v>9</v>
      </c>
      <c r="H15" s="1"/>
    </row>
    <row r="16" spans="1:31" x14ac:dyDescent="0.25">
      <c r="A16" s="1" t="s">
        <v>10</v>
      </c>
      <c r="H16" s="1"/>
    </row>
    <row r="17" spans="1:8" x14ac:dyDescent="0.25">
      <c r="A17" s="1" t="s">
        <v>11</v>
      </c>
      <c r="H17" s="1"/>
    </row>
    <row r="18" spans="1:8" x14ac:dyDescent="0.25">
      <c r="A18" s="1" t="s">
        <v>12</v>
      </c>
      <c r="H18" s="1"/>
    </row>
    <row r="19" spans="1:8" x14ac:dyDescent="0.25">
      <c r="A19" s="1" t="s">
        <v>13</v>
      </c>
      <c r="H19" s="1"/>
    </row>
    <row r="20" spans="1:8" x14ac:dyDescent="0.25">
      <c r="A20" s="1" t="s">
        <v>14</v>
      </c>
      <c r="H20" s="1"/>
    </row>
    <row r="21" spans="1:8" x14ac:dyDescent="0.25">
      <c r="A21" s="1" t="s">
        <v>15</v>
      </c>
      <c r="H21" s="1"/>
    </row>
    <row r="22" spans="1:8" x14ac:dyDescent="0.25">
      <c r="A22" s="1" t="s">
        <v>16</v>
      </c>
      <c r="H22" s="1"/>
    </row>
    <row r="23" spans="1:8" x14ac:dyDescent="0.25">
      <c r="A23" s="1" t="s">
        <v>17</v>
      </c>
      <c r="H23" s="1"/>
    </row>
    <row r="24" spans="1:8" x14ac:dyDescent="0.25">
      <c r="A24" s="1" t="s">
        <v>18</v>
      </c>
      <c r="H24" s="1"/>
    </row>
    <row r="25" spans="1:8" x14ac:dyDescent="0.25">
      <c r="A25" s="1" t="s">
        <v>19</v>
      </c>
      <c r="H25" s="1"/>
    </row>
    <row r="26" spans="1:8" x14ac:dyDescent="0.25">
      <c r="A26" s="1" t="s">
        <v>20</v>
      </c>
      <c r="H26" s="1"/>
    </row>
    <row r="27" spans="1:8" x14ac:dyDescent="0.25">
      <c r="A27" s="1" t="s">
        <v>21</v>
      </c>
      <c r="H27" s="1"/>
    </row>
    <row r="28" spans="1:8" x14ac:dyDescent="0.25">
      <c r="A28" s="1" t="s">
        <v>22</v>
      </c>
      <c r="H28" s="1"/>
    </row>
    <row r="29" spans="1:8" x14ac:dyDescent="0.25">
      <c r="A29" s="1" t="s">
        <v>23</v>
      </c>
      <c r="H29" s="1"/>
    </row>
    <row r="30" spans="1:8" x14ac:dyDescent="0.25">
      <c r="A30" s="1" t="s">
        <v>24</v>
      </c>
      <c r="H30" s="1"/>
    </row>
    <row r="31" spans="1:8" x14ac:dyDescent="0.25">
      <c r="A31" s="1" t="s">
        <v>25</v>
      </c>
      <c r="H31" s="1"/>
    </row>
    <row r="32" spans="1:8" x14ac:dyDescent="0.25">
      <c r="A32" s="1" t="s">
        <v>26</v>
      </c>
      <c r="H32" s="1"/>
    </row>
    <row r="33" spans="1:8" x14ac:dyDescent="0.25">
      <c r="A33" s="1" t="s">
        <v>27</v>
      </c>
      <c r="H33" s="1"/>
    </row>
    <row r="34" spans="1:8" x14ac:dyDescent="0.25">
      <c r="A34" s="1" t="s">
        <v>28</v>
      </c>
      <c r="H34" s="1"/>
    </row>
    <row r="35" spans="1:8" x14ac:dyDescent="0.25">
      <c r="A35" s="1" t="s">
        <v>29</v>
      </c>
      <c r="H35" s="1"/>
    </row>
    <row r="36" spans="1:8" x14ac:dyDescent="0.25">
      <c r="A36" s="1" t="s">
        <v>30</v>
      </c>
      <c r="H36" s="1"/>
    </row>
    <row r="37" spans="1:8" x14ac:dyDescent="0.25">
      <c r="A37" s="1" t="s">
        <v>31</v>
      </c>
      <c r="H37" s="1"/>
    </row>
    <row r="38" spans="1:8" x14ac:dyDescent="0.25">
      <c r="A38" s="1" t="s">
        <v>32</v>
      </c>
      <c r="H38" s="1"/>
    </row>
    <row r="39" spans="1:8" x14ac:dyDescent="0.25">
      <c r="A39" s="1" t="s">
        <v>33</v>
      </c>
      <c r="H39" s="1"/>
    </row>
    <row r="40" spans="1:8" x14ac:dyDescent="0.25">
      <c r="A40" s="1" t="s">
        <v>34</v>
      </c>
      <c r="H40" s="1"/>
    </row>
    <row r="41" spans="1:8" x14ac:dyDescent="0.25">
      <c r="A41" s="1" t="s">
        <v>35</v>
      </c>
      <c r="H41" s="1"/>
    </row>
    <row r="42" spans="1:8" x14ac:dyDescent="0.25">
      <c r="A42" s="1" t="s">
        <v>36</v>
      </c>
      <c r="H42" s="1"/>
    </row>
    <row r="43" spans="1:8" x14ac:dyDescent="0.25">
      <c r="A43" s="1" t="s">
        <v>37</v>
      </c>
      <c r="H43" s="1"/>
    </row>
    <row r="44" spans="1:8" x14ac:dyDescent="0.25">
      <c r="A44" s="1" t="s">
        <v>38</v>
      </c>
      <c r="H44" s="1"/>
    </row>
    <row r="45" spans="1:8" x14ac:dyDescent="0.25">
      <c r="A45" s="1" t="s">
        <v>39</v>
      </c>
      <c r="H45" s="1"/>
    </row>
    <row r="46" spans="1:8" x14ac:dyDescent="0.25">
      <c r="A46" s="1" t="s">
        <v>40</v>
      </c>
      <c r="H46" s="1"/>
    </row>
    <row r="47" spans="1:8" x14ac:dyDescent="0.25">
      <c r="A47" s="1" t="s">
        <v>41</v>
      </c>
      <c r="H47" s="1"/>
    </row>
    <row r="48" spans="1:8" x14ac:dyDescent="0.25">
      <c r="A48" s="1" t="s">
        <v>42</v>
      </c>
      <c r="H48" s="1"/>
    </row>
    <row r="49" spans="1:8" x14ac:dyDescent="0.25">
      <c r="A49" s="1" t="s">
        <v>43</v>
      </c>
      <c r="H49" s="1"/>
    </row>
    <row r="50" spans="1:8" x14ac:dyDescent="0.25">
      <c r="A50" s="1" t="s">
        <v>44</v>
      </c>
      <c r="H50" s="1"/>
    </row>
    <row r="51" spans="1:8" x14ac:dyDescent="0.25">
      <c r="A51" s="1" t="s">
        <v>45</v>
      </c>
      <c r="H51" s="1"/>
    </row>
    <row r="52" spans="1:8" x14ac:dyDescent="0.25">
      <c r="A52" s="1" t="s">
        <v>46</v>
      </c>
      <c r="H52" s="1"/>
    </row>
    <row r="53" spans="1:8" x14ac:dyDescent="0.25">
      <c r="A53" s="1" t="s">
        <v>47</v>
      </c>
      <c r="H53" s="1"/>
    </row>
    <row r="54" spans="1:8" x14ac:dyDescent="0.25">
      <c r="A54" s="1" t="s">
        <v>48</v>
      </c>
      <c r="H54" s="1"/>
    </row>
    <row r="55" spans="1:8" x14ac:dyDescent="0.25">
      <c r="A55" s="1" t="s">
        <v>49</v>
      </c>
      <c r="H55" s="1"/>
    </row>
    <row r="56" spans="1:8" x14ac:dyDescent="0.25">
      <c r="A56" s="1" t="s">
        <v>50</v>
      </c>
      <c r="H56" s="1"/>
    </row>
    <row r="57" spans="1:8" x14ac:dyDescent="0.25">
      <c r="A57" s="1" t="s">
        <v>83</v>
      </c>
      <c r="H57" s="1"/>
    </row>
    <row r="58" spans="1:8" x14ac:dyDescent="0.25">
      <c r="A58" s="1" t="s">
        <v>84</v>
      </c>
      <c r="H58" s="1"/>
    </row>
    <row r="59" spans="1:8" x14ac:dyDescent="0.25">
      <c r="A59" s="1" t="s">
        <v>85</v>
      </c>
      <c r="H59" s="1"/>
    </row>
    <row r="60" spans="1:8" x14ac:dyDescent="0.25">
      <c r="A60" s="1" t="s">
        <v>86</v>
      </c>
      <c r="H60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E60"/>
  <sheetViews>
    <sheetView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5" x14ac:dyDescent="0.25"/>
  <cols>
    <col min="1" max="1" width="27.42578125" bestFit="1" customWidth="1"/>
    <col min="2" max="2" width="8.28515625" bestFit="1" customWidth="1"/>
    <col min="3" max="3" width="9.28515625" bestFit="1" customWidth="1"/>
    <col min="4" max="4" width="9.140625" bestFit="1" customWidth="1"/>
    <col min="5" max="5" width="8.85546875" bestFit="1" customWidth="1"/>
    <col min="6" max="6" width="9.42578125" bestFit="1" customWidth="1"/>
    <col min="7" max="7" width="9.140625" bestFit="1" customWidth="1"/>
    <col min="8" max="8" width="8.7109375" bestFit="1" customWidth="1"/>
    <col min="9" max="9" width="9.140625" bestFit="1" customWidth="1"/>
    <col min="10" max="10" width="9.42578125" bestFit="1" customWidth="1"/>
    <col min="11" max="11" width="9" bestFit="1" customWidth="1"/>
    <col min="12" max="12" width="9.7109375" bestFit="1" customWidth="1"/>
    <col min="13" max="13" width="8.85546875" bestFit="1" customWidth="1"/>
    <col min="14" max="14" width="8.28515625" bestFit="1" customWidth="1"/>
    <col min="15" max="15" width="9.28515625" bestFit="1" customWidth="1"/>
    <col min="16" max="16" width="9.140625" bestFit="1" customWidth="1"/>
    <col min="17" max="17" width="8.85546875" bestFit="1" customWidth="1"/>
    <col min="18" max="18" width="9.42578125" bestFit="1" customWidth="1"/>
    <col min="19" max="19" width="9.140625" bestFit="1" customWidth="1"/>
    <col min="20" max="20" width="8.7109375" bestFit="1" customWidth="1"/>
    <col min="21" max="21" width="9.140625" bestFit="1" customWidth="1"/>
    <col min="22" max="22" width="9.42578125" bestFit="1" customWidth="1"/>
    <col min="23" max="23" width="9" bestFit="1" customWidth="1"/>
    <col min="24" max="24" width="9.7109375" bestFit="1" customWidth="1"/>
    <col min="25" max="25" width="8.85546875" bestFit="1" customWidth="1"/>
    <col min="26" max="26" width="8.28515625" bestFit="1" customWidth="1"/>
    <col min="27" max="27" width="10.28515625" bestFit="1" customWidth="1"/>
    <col min="28" max="28" width="9.140625" bestFit="1" customWidth="1"/>
    <col min="29" max="29" width="8.85546875" bestFit="1" customWidth="1"/>
    <col min="30" max="30" width="9.42578125" bestFit="1" customWidth="1"/>
    <col min="31" max="31" width="9.140625" bestFit="1" customWidth="1"/>
  </cols>
  <sheetData>
    <row r="2" spans="1:31" x14ac:dyDescent="0.25">
      <c r="A2" t="s">
        <v>92</v>
      </c>
    </row>
    <row r="5" spans="1:31" x14ac:dyDescent="0.25">
      <c r="A5" t="s">
        <v>0</v>
      </c>
      <c r="B5" t="s">
        <v>88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  <c r="J5" t="s">
        <v>61</v>
      </c>
      <c r="K5" t="s">
        <v>62</v>
      </c>
      <c r="L5" t="s">
        <v>63</v>
      </c>
      <c r="M5" t="s">
        <v>64</v>
      </c>
      <c r="N5" t="s">
        <v>65</v>
      </c>
      <c r="O5" t="s">
        <v>66</v>
      </c>
      <c r="P5" t="s">
        <v>67</v>
      </c>
      <c r="Q5" t="s">
        <v>68</v>
      </c>
      <c r="R5" t="s">
        <v>69</v>
      </c>
      <c r="S5" t="s">
        <v>70</v>
      </c>
      <c r="T5" t="s">
        <v>71</v>
      </c>
      <c r="U5" t="s">
        <v>72</v>
      </c>
      <c r="V5" t="s">
        <v>73</v>
      </c>
      <c r="W5" t="s">
        <v>74</v>
      </c>
      <c r="X5" t="s">
        <v>75</v>
      </c>
      <c r="Y5" t="s">
        <v>76</v>
      </c>
      <c r="Z5" t="s">
        <v>77</v>
      </c>
      <c r="AA5" t="s">
        <v>78</v>
      </c>
      <c r="AB5" t="s">
        <v>79</v>
      </c>
      <c r="AC5" t="s">
        <v>80</v>
      </c>
      <c r="AD5" t="s">
        <v>81</v>
      </c>
      <c r="AE5" t="s">
        <v>82</v>
      </c>
    </row>
    <row r="6" spans="1:31" x14ac:dyDescent="0.25">
      <c r="A6" s="1" t="s">
        <v>1</v>
      </c>
      <c r="H6" s="1"/>
    </row>
    <row r="7" spans="1:31" x14ac:dyDescent="0.25">
      <c r="A7" s="1" t="s">
        <v>2</v>
      </c>
      <c r="H7" s="1"/>
    </row>
    <row r="8" spans="1:31" x14ac:dyDescent="0.25">
      <c r="A8" s="1" t="s">
        <v>3</v>
      </c>
      <c r="H8" s="1"/>
    </row>
    <row r="9" spans="1:31" x14ac:dyDescent="0.25">
      <c r="A9" s="1" t="s">
        <v>4</v>
      </c>
      <c r="H9" s="1"/>
    </row>
    <row r="10" spans="1:31" x14ac:dyDescent="0.25">
      <c r="A10" s="1" t="s">
        <v>5</v>
      </c>
      <c r="H10" s="1"/>
    </row>
    <row r="11" spans="1:31" x14ac:dyDescent="0.25">
      <c r="A11" s="1" t="s">
        <v>6</v>
      </c>
      <c r="H11" s="1"/>
    </row>
    <row r="12" spans="1:31" x14ac:dyDescent="0.25">
      <c r="A12" s="1" t="s">
        <v>6</v>
      </c>
      <c r="H12" s="1"/>
    </row>
    <row r="13" spans="1:31" x14ac:dyDescent="0.25">
      <c r="A13" s="1" t="s">
        <v>7</v>
      </c>
      <c r="H13" s="1"/>
    </row>
    <row r="14" spans="1:31" x14ac:dyDescent="0.25">
      <c r="A14" s="1" t="s">
        <v>8</v>
      </c>
      <c r="H14" s="1"/>
    </row>
    <row r="15" spans="1:31" x14ac:dyDescent="0.25">
      <c r="A15" s="1" t="s">
        <v>9</v>
      </c>
      <c r="H15" s="1"/>
    </row>
    <row r="16" spans="1:31" x14ac:dyDescent="0.25">
      <c r="A16" s="1" t="s">
        <v>10</v>
      </c>
      <c r="H16" s="1"/>
    </row>
    <row r="17" spans="1:8" x14ac:dyDescent="0.25">
      <c r="A17" s="1" t="s">
        <v>11</v>
      </c>
      <c r="H17" s="1"/>
    </row>
    <row r="18" spans="1:8" x14ac:dyDescent="0.25">
      <c r="A18" s="1" t="s">
        <v>12</v>
      </c>
      <c r="H18" s="1"/>
    </row>
    <row r="19" spans="1:8" x14ac:dyDescent="0.25">
      <c r="A19" s="1" t="s">
        <v>13</v>
      </c>
      <c r="H19" s="1"/>
    </row>
    <row r="20" spans="1:8" x14ac:dyDescent="0.25">
      <c r="A20" s="1" t="s">
        <v>14</v>
      </c>
      <c r="H20" s="1"/>
    </row>
    <row r="21" spans="1:8" x14ac:dyDescent="0.25">
      <c r="A21" s="1" t="s">
        <v>15</v>
      </c>
      <c r="H21" s="1"/>
    </row>
    <row r="22" spans="1:8" x14ac:dyDescent="0.25">
      <c r="A22" s="1" t="s">
        <v>16</v>
      </c>
      <c r="H22" s="1"/>
    </row>
    <row r="23" spans="1:8" x14ac:dyDescent="0.25">
      <c r="A23" s="1" t="s">
        <v>17</v>
      </c>
      <c r="H23" s="1"/>
    </row>
    <row r="24" spans="1:8" x14ac:dyDescent="0.25">
      <c r="A24" s="1" t="s">
        <v>18</v>
      </c>
      <c r="H24" s="1"/>
    </row>
    <row r="25" spans="1:8" x14ac:dyDescent="0.25">
      <c r="A25" s="1" t="s">
        <v>19</v>
      </c>
      <c r="H25" s="1"/>
    </row>
    <row r="26" spans="1:8" x14ac:dyDescent="0.25">
      <c r="A26" s="1" t="s">
        <v>20</v>
      </c>
      <c r="H26" s="1"/>
    </row>
    <row r="27" spans="1:8" x14ac:dyDescent="0.25">
      <c r="A27" s="1" t="s">
        <v>21</v>
      </c>
      <c r="H27" s="1"/>
    </row>
    <row r="28" spans="1:8" x14ac:dyDescent="0.25">
      <c r="A28" s="1" t="s">
        <v>22</v>
      </c>
      <c r="H28" s="1"/>
    </row>
    <row r="29" spans="1:8" x14ac:dyDescent="0.25">
      <c r="A29" s="1" t="s">
        <v>23</v>
      </c>
      <c r="H29" s="1"/>
    </row>
    <row r="30" spans="1:8" x14ac:dyDescent="0.25">
      <c r="A30" s="1" t="s">
        <v>24</v>
      </c>
      <c r="H30" s="1"/>
    </row>
    <row r="31" spans="1:8" x14ac:dyDescent="0.25">
      <c r="A31" s="1" t="s">
        <v>25</v>
      </c>
      <c r="H31" s="1"/>
    </row>
    <row r="32" spans="1:8" x14ac:dyDescent="0.25">
      <c r="A32" s="1" t="s">
        <v>26</v>
      </c>
      <c r="H32" s="1"/>
    </row>
    <row r="33" spans="1:8" x14ac:dyDescent="0.25">
      <c r="A33" s="1" t="s">
        <v>27</v>
      </c>
      <c r="H33" s="1"/>
    </row>
    <row r="34" spans="1:8" x14ac:dyDescent="0.25">
      <c r="A34" s="1" t="s">
        <v>28</v>
      </c>
      <c r="H34" s="1"/>
    </row>
    <row r="35" spans="1:8" x14ac:dyDescent="0.25">
      <c r="A35" s="1" t="s">
        <v>29</v>
      </c>
      <c r="H35" s="1"/>
    </row>
    <row r="36" spans="1:8" x14ac:dyDescent="0.25">
      <c r="A36" s="1" t="s">
        <v>30</v>
      </c>
      <c r="H36" s="1"/>
    </row>
    <row r="37" spans="1:8" x14ac:dyDescent="0.25">
      <c r="A37" s="1" t="s">
        <v>31</v>
      </c>
      <c r="H37" s="1"/>
    </row>
    <row r="38" spans="1:8" x14ac:dyDescent="0.25">
      <c r="A38" s="1" t="s">
        <v>32</v>
      </c>
      <c r="H38" s="1"/>
    </row>
    <row r="39" spans="1:8" x14ac:dyDescent="0.25">
      <c r="A39" s="1" t="s">
        <v>33</v>
      </c>
      <c r="H39" s="1"/>
    </row>
    <row r="40" spans="1:8" x14ac:dyDescent="0.25">
      <c r="A40" s="1" t="s">
        <v>34</v>
      </c>
      <c r="H40" s="1"/>
    </row>
    <row r="41" spans="1:8" x14ac:dyDescent="0.25">
      <c r="A41" s="1" t="s">
        <v>35</v>
      </c>
      <c r="H41" s="1"/>
    </row>
    <row r="42" spans="1:8" x14ac:dyDescent="0.25">
      <c r="A42" s="1" t="s">
        <v>36</v>
      </c>
      <c r="H42" s="1"/>
    </row>
    <row r="43" spans="1:8" x14ac:dyDescent="0.25">
      <c r="A43" s="1" t="s">
        <v>37</v>
      </c>
      <c r="H43" s="1"/>
    </row>
    <row r="44" spans="1:8" x14ac:dyDescent="0.25">
      <c r="A44" s="1" t="s">
        <v>38</v>
      </c>
      <c r="H44" s="1"/>
    </row>
    <row r="45" spans="1:8" x14ac:dyDescent="0.25">
      <c r="A45" s="1" t="s">
        <v>39</v>
      </c>
      <c r="H45" s="1"/>
    </row>
    <row r="46" spans="1:8" x14ac:dyDescent="0.25">
      <c r="A46" s="1" t="s">
        <v>40</v>
      </c>
      <c r="H46" s="1"/>
    </row>
    <row r="47" spans="1:8" x14ac:dyDescent="0.25">
      <c r="A47" s="1" t="s">
        <v>41</v>
      </c>
      <c r="H47" s="1"/>
    </row>
    <row r="48" spans="1:8" x14ac:dyDescent="0.25">
      <c r="A48" s="1" t="s">
        <v>42</v>
      </c>
      <c r="H48" s="1"/>
    </row>
    <row r="49" spans="1:8" x14ac:dyDescent="0.25">
      <c r="A49" s="1" t="s">
        <v>43</v>
      </c>
      <c r="H49" s="1"/>
    </row>
    <row r="50" spans="1:8" x14ac:dyDescent="0.25">
      <c r="A50" s="1" t="s">
        <v>44</v>
      </c>
      <c r="H50" s="1"/>
    </row>
    <row r="51" spans="1:8" x14ac:dyDescent="0.25">
      <c r="A51" s="1" t="s">
        <v>45</v>
      </c>
      <c r="H51" s="1"/>
    </row>
    <row r="52" spans="1:8" x14ac:dyDescent="0.25">
      <c r="A52" s="1" t="s">
        <v>46</v>
      </c>
      <c r="H52" s="1"/>
    </row>
    <row r="53" spans="1:8" x14ac:dyDescent="0.25">
      <c r="A53" s="1" t="s">
        <v>47</v>
      </c>
      <c r="H53" s="1"/>
    </row>
    <row r="54" spans="1:8" x14ac:dyDescent="0.25">
      <c r="A54" s="1" t="s">
        <v>48</v>
      </c>
      <c r="H54" s="1"/>
    </row>
    <row r="55" spans="1:8" x14ac:dyDescent="0.25">
      <c r="A55" s="1" t="s">
        <v>49</v>
      </c>
      <c r="H55" s="1"/>
    </row>
    <row r="56" spans="1:8" x14ac:dyDescent="0.25">
      <c r="A56" s="1" t="s">
        <v>50</v>
      </c>
      <c r="H56" s="1"/>
    </row>
    <row r="57" spans="1:8" x14ac:dyDescent="0.25">
      <c r="A57" s="1" t="s">
        <v>83</v>
      </c>
      <c r="H57" s="1"/>
    </row>
    <row r="58" spans="1:8" x14ac:dyDescent="0.25">
      <c r="A58" s="1" t="s">
        <v>84</v>
      </c>
      <c r="H58" s="1"/>
    </row>
    <row r="59" spans="1:8" x14ac:dyDescent="0.25">
      <c r="A59" s="1" t="s">
        <v>85</v>
      </c>
      <c r="H59" s="1"/>
    </row>
    <row r="60" spans="1:8" x14ac:dyDescent="0.25">
      <c r="A60" s="1" t="s">
        <v>86</v>
      </c>
      <c r="H60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E56"/>
  <sheetViews>
    <sheetView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5" x14ac:dyDescent="0.25"/>
  <cols>
    <col min="1" max="1" width="27.42578125" bestFit="1" customWidth="1"/>
    <col min="2" max="2" width="8.28515625" bestFit="1" customWidth="1"/>
    <col min="3" max="3" width="9.28515625" bestFit="1" customWidth="1"/>
    <col min="4" max="4" width="9.140625" bestFit="1" customWidth="1"/>
    <col min="5" max="5" width="8.85546875" bestFit="1" customWidth="1"/>
    <col min="6" max="6" width="9.42578125" bestFit="1" customWidth="1"/>
    <col min="7" max="7" width="9.140625" bestFit="1" customWidth="1"/>
    <col min="8" max="8" width="8.7109375" bestFit="1" customWidth="1"/>
    <col min="9" max="9" width="9.140625" bestFit="1" customWidth="1"/>
    <col min="10" max="10" width="9.42578125" bestFit="1" customWidth="1"/>
    <col min="11" max="11" width="9" bestFit="1" customWidth="1"/>
    <col min="12" max="12" width="9.7109375" bestFit="1" customWidth="1"/>
    <col min="13" max="13" width="8.85546875" bestFit="1" customWidth="1"/>
    <col min="14" max="14" width="8.28515625" bestFit="1" customWidth="1"/>
    <col min="15" max="15" width="9.28515625" bestFit="1" customWidth="1"/>
    <col min="16" max="16" width="9.140625" bestFit="1" customWidth="1"/>
    <col min="17" max="17" width="8.85546875" bestFit="1" customWidth="1"/>
    <col min="18" max="18" width="9.42578125" bestFit="1" customWidth="1"/>
    <col min="19" max="19" width="9.140625" bestFit="1" customWidth="1"/>
    <col min="20" max="20" width="8.7109375" bestFit="1" customWidth="1"/>
    <col min="21" max="21" width="9.140625" bestFit="1" customWidth="1"/>
    <col min="22" max="22" width="9.42578125" bestFit="1" customWidth="1"/>
    <col min="23" max="23" width="9" bestFit="1" customWidth="1"/>
    <col min="24" max="24" width="9.7109375" bestFit="1" customWidth="1"/>
    <col min="25" max="25" width="8.85546875" bestFit="1" customWidth="1"/>
    <col min="26" max="26" width="8.28515625" bestFit="1" customWidth="1"/>
    <col min="27" max="27" width="10.28515625" bestFit="1" customWidth="1"/>
    <col min="28" max="28" width="9.140625" bestFit="1" customWidth="1"/>
    <col min="29" max="29" width="8.85546875" bestFit="1" customWidth="1"/>
    <col min="30" max="30" width="9.42578125" bestFit="1" customWidth="1"/>
    <col min="31" max="31" width="9.140625" bestFit="1" customWidth="1"/>
  </cols>
  <sheetData>
    <row r="2" spans="1:31" x14ac:dyDescent="0.25">
      <c r="A2" t="s">
        <v>52</v>
      </c>
    </row>
    <row r="5" spans="1:31" x14ac:dyDescent="0.25">
      <c r="A5" t="s">
        <v>0</v>
      </c>
      <c r="B5" t="s">
        <v>88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  <c r="J5" t="s">
        <v>61</v>
      </c>
      <c r="K5" t="s">
        <v>62</v>
      </c>
      <c r="L5" t="s">
        <v>63</v>
      </c>
      <c r="M5" t="s">
        <v>64</v>
      </c>
      <c r="N5" t="s">
        <v>65</v>
      </c>
      <c r="O5" t="s">
        <v>66</v>
      </c>
      <c r="P5" t="s">
        <v>67</v>
      </c>
      <c r="Q5" t="s">
        <v>68</v>
      </c>
      <c r="R5" t="s">
        <v>69</v>
      </c>
      <c r="S5" t="s">
        <v>70</v>
      </c>
      <c r="T5" t="s">
        <v>71</v>
      </c>
      <c r="U5" t="s">
        <v>72</v>
      </c>
      <c r="V5" t="s">
        <v>73</v>
      </c>
      <c r="W5" t="s">
        <v>74</v>
      </c>
      <c r="X5" t="s">
        <v>75</v>
      </c>
      <c r="Y5" t="s">
        <v>76</v>
      </c>
      <c r="Z5" t="s">
        <v>77</v>
      </c>
      <c r="AA5" t="s">
        <v>78</v>
      </c>
      <c r="AB5" t="s">
        <v>79</v>
      </c>
      <c r="AC5" t="s">
        <v>80</v>
      </c>
      <c r="AD5" t="s">
        <v>81</v>
      </c>
      <c r="AE5" t="s">
        <v>82</v>
      </c>
    </row>
    <row r="6" spans="1:31" x14ac:dyDescent="0.25">
      <c r="A6" s="1" t="s">
        <v>1</v>
      </c>
      <c r="B6">
        <v>1</v>
      </c>
      <c r="C6">
        <v>11</v>
      </c>
      <c r="D6">
        <v>111</v>
      </c>
      <c r="H6" s="1"/>
    </row>
    <row r="7" spans="1:31" x14ac:dyDescent="0.25">
      <c r="A7" s="1" t="s">
        <v>2</v>
      </c>
      <c r="B7">
        <v>2</v>
      </c>
      <c r="C7">
        <v>12</v>
      </c>
      <c r="D7">
        <v>112</v>
      </c>
      <c r="H7" s="1"/>
    </row>
    <row r="8" spans="1:31" x14ac:dyDescent="0.25">
      <c r="A8" s="1" t="s">
        <v>3</v>
      </c>
      <c r="B8">
        <v>3</v>
      </c>
      <c r="C8">
        <v>13</v>
      </c>
      <c r="D8">
        <v>113</v>
      </c>
      <c r="H8" s="1"/>
    </row>
    <row r="9" spans="1:31" x14ac:dyDescent="0.25">
      <c r="A9" s="1" t="s">
        <v>4</v>
      </c>
      <c r="B9">
        <v>4</v>
      </c>
      <c r="C9">
        <v>14</v>
      </c>
      <c r="D9">
        <v>114</v>
      </c>
      <c r="H9" s="1"/>
    </row>
    <row r="10" spans="1:31" x14ac:dyDescent="0.25">
      <c r="A10" s="1" t="s">
        <v>5</v>
      </c>
      <c r="B10">
        <v>5</v>
      </c>
      <c r="C10">
        <v>15</v>
      </c>
      <c r="D10">
        <v>115</v>
      </c>
      <c r="H10" s="1"/>
    </row>
    <row r="11" spans="1:31" x14ac:dyDescent="0.25">
      <c r="A11" s="1" t="s">
        <v>6</v>
      </c>
      <c r="B11">
        <v>6</v>
      </c>
      <c r="C11">
        <v>16</v>
      </c>
      <c r="D11">
        <v>116</v>
      </c>
      <c r="H11" s="1"/>
    </row>
    <row r="12" spans="1:31" x14ac:dyDescent="0.25">
      <c r="A12" s="1" t="s">
        <v>6</v>
      </c>
      <c r="H12" s="1"/>
    </row>
    <row r="13" spans="1:31" x14ac:dyDescent="0.25">
      <c r="A13" s="1" t="s">
        <v>7</v>
      </c>
      <c r="H13" s="1"/>
    </row>
    <row r="14" spans="1:31" x14ac:dyDescent="0.25">
      <c r="A14" s="1" t="s">
        <v>8</v>
      </c>
      <c r="H14" s="1"/>
    </row>
    <row r="15" spans="1:31" x14ac:dyDescent="0.25">
      <c r="A15" s="1" t="s">
        <v>9</v>
      </c>
      <c r="H15" s="1"/>
    </row>
    <row r="16" spans="1:31" x14ac:dyDescent="0.25">
      <c r="A16" s="1" t="s">
        <v>10</v>
      </c>
      <c r="H16" s="1"/>
    </row>
    <row r="17" spans="1:8" x14ac:dyDescent="0.25">
      <c r="A17" s="1" t="s">
        <v>11</v>
      </c>
      <c r="H17" s="1"/>
    </row>
    <row r="18" spans="1:8" x14ac:dyDescent="0.25">
      <c r="A18" s="1" t="s">
        <v>12</v>
      </c>
      <c r="H18" s="1"/>
    </row>
    <row r="19" spans="1:8" x14ac:dyDescent="0.25">
      <c r="A19" s="1" t="s">
        <v>13</v>
      </c>
      <c r="H19" s="1"/>
    </row>
    <row r="20" spans="1:8" x14ac:dyDescent="0.25">
      <c r="A20" s="1" t="s">
        <v>14</v>
      </c>
      <c r="H20" s="1"/>
    </row>
    <row r="21" spans="1:8" x14ac:dyDescent="0.25">
      <c r="A21" s="1" t="s">
        <v>15</v>
      </c>
      <c r="H21" s="1"/>
    </row>
    <row r="22" spans="1:8" x14ac:dyDescent="0.25">
      <c r="A22" s="1" t="s">
        <v>16</v>
      </c>
      <c r="H22" s="1"/>
    </row>
    <row r="23" spans="1:8" x14ac:dyDescent="0.25">
      <c r="A23" s="1" t="s">
        <v>17</v>
      </c>
      <c r="H23" s="1"/>
    </row>
    <row r="24" spans="1:8" x14ac:dyDescent="0.25">
      <c r="A24" s="1" t="s">
        <v>18</v>
      </c>
      <c r="H24" s="1"/>
    </row>
    <row r="25" spans="1:8" x14ac:dyDescent="0.25">
      <c r="A25" s="1" t="s">
        <v>19</v>
      </c>
      <c r="H25" s="1"/>
    </row>
    <row r="26" spans="1:8" x14ac:dyDescent="0.25">
      <c r="A26" s="1" t="s">
        <v>20</v>
      </c>
      <c r="H26" s="1"/>
    </row>
    <row r="27" spans="1:8" x14ac:dyDescent="0.25">
      <c r="A27" s="1" t="s">
        <v>21</v>
      </c>
      <c r="H27" s="1"/>
    </row>
    <row r="28" spans="1:8" x14ac:dyDescent="0.25">
      <c r="A28" s="1" t="s">
        <v>22</v>
      </c>
      <c r="H28" s="1"/>
    </row>
    <row r="29" spans="1:8" x14ac:dyDescent="0.25">
      <c r="A29" s="1" t="s">
        <v>23</v>
      </c>
      <c r="H29" s="1"/>
    </row>
    <row r="30" spans="1:8" x14ac:dyDescent="0.25">
      <c r="A30" s="1" t="s">
        <v>24</v>
      </c>
      <c r="H30" s="1"/>
    </row>
    <row r="31" spans="1:8" x14ac:dyDescent="0.25">
      <c r="A31" s="1" t="s">
        <v>25</v>
      </c>
      <c r="H31" s="1"/>
    </row>
    <row r="32" spans="1:8" x14ac:dyDescent="0.25">
      <c r="A32" s="1" t="s">
        <v>26</v>
      </c>
      <c r="H32" s="1"/>
    </row>
    <row r="33" spans="1:8" x14ac:dyDescent="0.25">
      <c r="A33" s="1" t="s">
        <v>27</v>
      </c>
      <c r="H33" s="1"/>
    </row>
    <row r="34" spans="1:8" x14ac:dyDescent="0.25">
      <c r="A34" s="1" t="s">
        <v>28</v>
      </c>
      <c r="H34" s="1"/>
    </row>
    <row r="35" spans="1:8" x14ac:dyDescent="0.25">
      <c r="A35" s="1" t="s">
        <v>29</v>
      </c>
      <c r="H35" s="1"/>
    </row>
    <row r="36" spans="1:8" x14ac:dyDescent="0.25">
      <c r="A36" s="1" t="s">
        <v>30</v>
      </c>
      <c r="H36" s="1"/>
    </row>
    <row r="37" spans="1:8" x14ac:dyDescent="0.25">
      <c r="A37" s="1" t="s">
        <v>31</v>
      </c>
      <c r="H37" s="1"/>
    </row>
    <row r="38" spans="1:8" x14ac:dyDescent="0.25">
      <c r="A38" s="1" t="s">
        <v>32</v>
      </c>
      <c r="H38" s="1"/>
    </row>
    <row r="39" spans="1:8" x14ac:dyDescent="0.25">
      <c r="A39" s="1" t="s">
        <v>33</v>
      </c>
      <c r="H39" s="1"/>
    </row>
    <row r="40" spans="1:8" x14ac:dyDescent="0.25">
      <c r="A40" s="1" t="s">
        <v>34</v>
      </c>
      <c r="H40" s="1"/>
    </row>
    <row r="41" spans="1:8" x14ac:dyDescent="0.25">
      <c r="A41" s="1" t="s">
        <v>35</v>
      </c>
      <c r="H41" s="1"/>
    </row>
    <row r="42" spans="1:8" x14ac:dyDescent="0.25">
      <c r="A42" s="1" t="s">
        <v>36</v>
      </c>
      <c r="H42" s="1"/>
    </row>
    <row r="43" spans="1:8" x14ac:dyDescent="0.25">
      <c r="A43" s="1" t="s">
        <v>37</v>
      </c>
      <c r="H43" s="1"/>
    </row>
    <row r="44" spans="1:8" x14ac:dyDescent="0.25">
      <c r="A44" s="1" t="s">
        <v>38</v>
      </c>
      <c r="H44" s="1"/>
    </row>
    <row r="45" spans="1:8" x14ac:dyDescent="0.25">
      <c r="A45" s="1" t="s">
        <v>39</v>
      </c>
      <c r="H45" s="1"/>
    </row>
    <row r="46" spans="1:8" x14ac:dyDescent="0.25">
      <c r="A46" s="1" t="s">
        <v>40</v>
      </c>
      <c r="H46" s="1"/>
    </row>
    <row r="47" spans="1:8" x14ac:dyDescent="0.25">
      <c r="A47" s="1" t="s">
        <v>41</v>
      </c>
      <c r="H47" s="1"/>
    </row>
    <row r="48" spans="1:8" x14ac:dyDescent="0.25">
      <c r="A48" s="1" t="s">
        <v>42</v>
      </c>
      <c r="H48" s="1"/>
    </row>
    <row r="49" spans="1:8" x14ac:dyDescent="0.25">
      <c r="A49" s="1" t="s">
        <v>43</v>
      </c>
      <c r="H49" s="1"/>
    </row>
    <row r="50" spans="1:8" x14ac:dyDescent="0.25">
      <c r="A50" s="1" t="s">
        <v>44</v>
      </c>
      <c r="H50" s="1"/>
    </row>
    <row r="51" spans="1:8" x14ac:dyDescent="0.25">
      <c r="A51" s="1" t="s">
        <v>45</v>
      </c>
      <c r="H51" s="1"/>
    </row>
    <row r="52" spans="1:8" x14ac:dyDescent="0.25">
      <c r="A52" s="1" t="s">
        <v>46</v>
      </c>
      <c r="H52" s="1"/>
    </row>
    <row r="53" spans="1:8" x14ac:dyDescent="0.25">
      <c r="A53" s="1" t="s">
        <v>47</v>
      </c>
      <c r="H53" s="1"/>
    </row>
    <row r="54" spans="1:8" x14ac:dyDescent="0.25">
      <c r="A54" s="1" t="s">
        <v>48</v>
      </c>
      <c r="H54" s="1"/>
    </row>
    <row r="55" spans="1:8" x14ac:dyDescent="0.25">
      <c r="A55" s="1" t="s">
        <v>49</v>
      </c>
      <c r="H55" s="1"/>
    </row>
    <row r="56" spans="1:8" x14ac:dyDescent="0.25">
      <c r="A56" s="1" t="s">
        <v>50</v>
      </c>
      <c r="H56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A2EFE4-762A-43E4-9E69-D8679ED2CB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Controls</vt:lpstr>
      <vt:lpstr>Stillwater</vt:lpstr>
      <vt:lpstr>Tulsa Mass Storage</vt:lpstr>
      <vt:lpstr>Pryor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Bell, Morgan</cp:lastModifiedBy>
  <dcterms:created xsi:type="dcterms:W3CDTF">2018-06-01T20:06:08Z</dcterms:created>
  <dcterms:modified xsi:type="dcterms:W3CDTF">2018-06-25T20:03:08Z</dcterms:modified>
</cp:coreProperties>
</file>