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Inventory\Warehouse\"/>
    </mc:Choice>
  </mc:AlternateContent>
  <bookViews>
    <workbookView xWindow="0" yWindow="0" windowWidth="25200" windowHeight="11700" firstSheet="1" activeTab="1"/>
  </bookViews>
  <sheets>
    <sheet name="Receipts" sheetId="1" r:id="rId1"/>
    <sheet name="Pulled" sheetId="6" r:id="rId2"/>
    <sheet name="Shipped" sheetId="2" r:id="rId3"/>
    <sheet name="Items" sheetId="7" r:id="rId4"/>
    <sheet name="Locations" sheetId="8" r:id="rId5"/>
    <sheet name="Lots" sheetId="9" r:id="rId6"/>
  </sheets>
  <functionGroups builtInGroupCount="18"/>
  <definedNames>
    <definedName name="_xlnm._FilterDatabase" localSheetId="2" hidden="1">Shipped!#REF!</definedName>
    <definedName name="ExternalData_1" localSheetId="3" hidden="1">Items!$A$1:$A$196</definedName>
    <definedName name="ExternalData_1" localSheetId="4" hidden="1">Locations!$A$1:$A$35</definedName>
    <definedName name="ExternalData_1" localSheetId="5" hidden="1">Lots!$A$1:$A$27</definedName>
    <definedName name="Pulled_Item">Pulled[item]</definedName>
    <definedName name="Pulled_Lot">Pulled[Lot]</definedName>
    <definedName name="Quantity">Pulled[Quantity]</definedName>
    <definedName name="Received">'Receipts'!$A$1:$H$43</definedName>
    <definedName name="Received_6409">Pulled[Received 6409]</definedName>
    <definedName name="Warehouse">'Receipts'!$L$2</definedName>
  </definedNames>
  <calcPr calcId="17902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1" l="1"/>
  <c r="H43" i="1"/>
  <c r="I43" i="1"/>
  <c r="G42" i="1"/>
  <c r="H42" i="1"/>
  <c r="I42" i="1"/>
  <c r="G41" i="1"/>
  <c r="H41" i="1"/>
  <c r="I41" i="1"/>
  <c r="F22" i="2"/>
  <c r="F21" i="2"/>
  <c r="G23" i="6"/>
  <c r="G22" i="6"/>
  <c r="G21" i="6"/>
  <c r="G40" i="1"/>
  <c r="H40" i="1"/>
  <c r="I40" i="1"/>
  <c r="G39" i="1"/>
  <c r="H39" i="1"/>
  <c r="I39" i="1"/>
  <c r="G38" i="1"/>
  <c r="H38" i="1"/>
  <c r="I38" i="1"/>
  <c r="G37" i="1"/>
  <c r="H37" i="1"/>
  <c r="I37" i="1"/>
  <c r="F20" i="2"/>
  <c r="F19" i="2"/>
  <c r="G20" i="6"/>
  <c r="G19" i="6"/>
  <c r="G36" i="1"/>
  <c r="H36" i="1"/>
  <c r="I36" i="1"/>
  <c r="G35" i="1"/>
  <c r="H35" i="1"/>
  <c r="I35" i="1"/>
  <c r="G34" i="1"/>
  <c r="H34" i="1"/>
  <c r="I34" i="1"/>
  <c r="G33" i="1"/>
  <c r="H33" i="1"/>
  <c r="I33" i="1"/>
  <c r="G32" i="1"/>
  <c r="H32" i="1"/>
  <c r="I32" i="1"/>
  <c r="G31" i="1"/>
  <c r="H31" i="1"/>
  <c r="I31" i="1"/>
  <c r="G30" i="1"/>
  <c r="H30" i="1"/>
  <c r="I30" i="1"/>
  <c r="G29" i="1"/>
  <c r="H29" i="1"/>
  <c r="I29" i="1"/>
  <c r="G28" i="1"/>
  <c r="H28" i="1"/>
  <c r="I28" i="1"/>
  <c r="G27" i="1"/>
  <c r="H27" i="1"/>
  <c r="I27" i="1"/>
  <c r="F18" i="2"/>
  <c r="F17" i="2"/>
  <c r="G18" i="6"/>
  <c r="G17" i="6"/>
  <c r="F16" i="2"/>
  <c r="F15" i="2"/>
  <c r="F14" i="2"/>
  <c r="G16" i="6"/>
  <c r="G15" i="6"/>
  <c r="G14" i="6"/>
  <c r="G26" i="1"/>
  <c r="H26" i="1"/>
  <c r="I26" i="1"/>
  <c r="G25" i="1"/>
  <c r="H25" i="1"/>
  <c r="I25" i="1"/>
  <c r="G24" i="1"/>
  <c r="H24" i="1"/>
  <c r="I24" i="1"/>
  <c r="G23" i="1"/>
  <c r="H23" i="1"/>
  <c r="I23" i="1"/>
  <c r="G22" i="1"/>
  <c r="H22" i="1"/>
  <c r="I22" i="1"/>
  <c r="G21" i="1"/>
  <c r="H21" i="1"/>
  <c r="I21" i="1"/>
  <c r="G20" i="1"/>
  <c r="H20" i="1"/>
  <c r="I20" i="1"/>
  <c r="G19" i="1"/>
  <c r="H19" i="1"/>
  <c r="I19" i="1"/>
  <c r="F2" i="2"/>
  <c r="F3" i="2"/>
  <c r="F4" i="2"/>
  <c r="F5" i="2"/>
  <c r="F6" i="2"/>
  <c r="F7" i="2"/>
  <c r="F8" i="2"/>
  <c r="F9" i="2"/>
  <c r="F10" i="2"/>
  <c r="F11" i="2"/>
  <c r="F12" i="2"/>
  <c r="F13" i="2"/>
  <c r="G2" i="6"/>
  <c r="G3" i="6"/>
  <c r="G4" i="6"/>
  <c r="G5" i="6"/>
  <c r="G6" i="6"/>
  <c r="G7" i="6"/>
  <c r="G8" i="6"/>
  <c r="G9" i="6"/>
  <c r="G10" i="6"/>
  <c r="G11" i="6"/>
  <c r="G12" i="6"/>
  <c r="G13" i="6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G18" i="1"/>
  <c r="H18" i="1"/>
  <c r="G17" i="1"/>
  <c r="H17" i="1"/>
  <c r="G16" i="1"/>
  <c r="H16" i="1"/>
  <c r="G15" i="1"/>
  <c r="H15" i="1"/>
  <c r="G14" i="1"/>
  <c r="H14" i="1"/>
  <c r="G13" i="1"/>
  <c r="H13" i="1"/>
  <c r="G12" i="1"/>
  <c r="H12" i="1"/>
  <c r="G11" i="1"/>
  <c r="H11" i="1"/>
  <c r="G10" i="1"/>
  <c r="G9" i="1"/>
  <c r="G8" i="1"/>
  <c r="G7" i="1"/>
  <c r="G6" i="1"/>
  <c r="G5" i="1"/>
  <c r="G4" i="1"/>
  <c r="G3" i="1"/>
  <c r="G2" i="1"/>
  <c r="H7" i="1"/>
  <c r="H10" i="1"/>
  <c r="H9" i="1"/>
  <c r="H8" i="1"/>
  <c r="H6" i="1"/>
  <c r="H5" i="1"/>
  <c r="H4" i="1"/>
  <c r="H3" i="1"/>
  <c r="H2" i="1"/>
</calcChain>
</file>

<file path=xl/connections.xml><?xml version="1.0" encoding="utf-8"?>
<connections xmlns="http://schemas.openxmlformats.org/spreadsheetml/2006/main">
  <connection id="1" keepAlive="1" name="Query - Items" description="Connection to the 'Items' query in the workbook." type="5" refreshedVersion="6" saveData="1">
    <dbPr connection="Provider=Microsoft.Mashup.OleDb.1;Data Source=$Workbook$;Location=Items;Extended Properties=&quot;&quot;" command="SELECT * FROM [Items]"/>
  </connection>
  <connection id="2" keepAlive="1" name="Query - Locations" description="Connection to the 'Locations' query in the workbook." type="5" refreshedVersion="6" saveData="1">
    <dbPr connection="Provider=Microsoft.Mashup.OleDb.1;Data Source=$Workbook$;Location=Locations;Extended Properties=&quot;&quot;" command="SELECT * FROM [Locations]"/>
  </connection>
  <connection id="3" keepAlive="1" name="Query - Lot" description="Connection to the 'Lot' query in the workbook." type="5" refreshedVersion="6" saveData="1">
    <dbPr connection="Provider=Microsoft.Mashup.OleDb.1;Data Source=$Workbook$;Location=Lot;Extended Properties=&quot;&quot;" command="SELECT * FROM [Lot]"/>
  </connection>
</connections>
</file>

<file path=xl/sharedStrings.xml><?xml version="1.0" encoding="utf-8"?>
<sst xmlns="http://schemas.openxmlformats.org/spreadsheetml/2006/main" count="559" uniqueCount="296">
  <si>
    <t>item</t>
  </si>
  <si>
    <t>date received</t>
  </si>
  <si>
    <t>expiration date</t>
  </si>
  <si>
    <t>Quantity Received</t>
  </si>
  <si>
    <t>Received 6409</t>
  </si>
  <si>
    <t>Lot</t>
  </si>
  <si>
    <t>Quantity Consumed</t>
  </si>
  <si>
    <t>Quantity Available</t>
  </si>
  <si>
    <t>Warehouse</t>
  </si>
  <si>
    <t>Air Freshener</t>
  </si>
  <si>
    <t>2018070001</t>
  </si>
  <si>
    <t>a</t>
  </si>
  <si>
    <t>Tulsa</t>
  </si>
  <si>
    <t>Batteries 9-Volt</t>
  </si>
  <si>
    <t>2018070002</t>
  </si>
  <si>
    <t>Binder Clips - Large</t>
  </si>
  <si>
    <t>2018070003</t>
  </si>
  <si>
    <t>c</t>
  </si>
  <si>
    <t>Binder Notebook 1#</t>
  </si>
  <si>
    <t>2018070004</t>
  </si>
  <si>
    <t>d</t>
  </si>
  <si>
    <t>All Purpose Cleaning Spray</t>
  </si>
  <si>
    <t>2018070005</t>
  </si>
  <si>
    <t>e</t>
  </si>
  <si>
    <t>2018070006</t>
  </si>
  <si>
    <t>Batteries AAA</t>
  </si>
  <si>
    <t>Bleach</t>
  </si>
  <si>
    <t>2018070016</t>
  </si>
  <si>
    <t>2018070017</t>
  </si>
  <si>
    <t>2018070018</t>
  </si>
  <si>
    <t>f</t>
  </si>
  <si>
    <t>2018070019</t>
  </si>
  <si>
    <t>2018070020</t>
  </si>
  <si>
    <t>Batteries C</t>
  </si>
  <si>
    <t>2018070024</t>
  </si>
  <si>
    <t>2018070025</t>
  </si>
  <si>
    <t>2018070027</t>
  </si>
  <si>
    <t>Shipped 6409</t>
  </si>
  <si>
    <t>Date</t>
  </si>
  <si>
    <t>Quantity</t>
  </si>
  <si>
    <t>2018070007</t>
  </si>
  <si>
    <t>2018070008</t>
  </si>
  <si>
    <t>2018070009</t>
  </si>
  <si>
    <t>2018070010</t>
  </si>
  <si>
    <t>2018070011</t>
  </si>
  <si>
    <t>2018070012</t>
  </si>
  <si>
    <t>2018070014</t>
  </si>
  <si>
    <t>2018070015</t>
  </si>
  <si>
    <t>2018070021</t>
  </si>
  <si>
    <t>2018070022</t>
  </si>
  <si>
    <t>2018070026</t>
  </si>
  <si>
    <t>2018080001</t>
  </si>
  <si>
    <t>Item</t>
  </si>
  <si>
    <t>Location</t>
  </si>
  <si>
    <t>Tulsa inside storage</t>
  </si>
  <si>
    <t>OKC inside storage</t>
  </si>
  <si>
    <t>Ft. Sill storage</t>
  </si>
  <si>
    <t>Pauls Valley storage</t>
  </si>
  <si>
    <t>Pryor storage</t>
  </si>
  <si>
    <t>Office Supplies</t>
  </si>
  <si>
    <t>test item 8</t>
  </si>
  <si>
    <t>test item 14</t>
  </si>
  <si>
    <t>test item 1</t>
  </si>
  <si>
    <t>Batteries AA</t>
  </si>
  <si>
    <t xml:space="preserve">Office Supplies items </t>
  </si>
  <si>
    <t>Item 6</t>
  </si>
  <si>
    <t>Batteries D</t>
  </si>
  <si>
    <t>test item 2</t>
  </si>
  <si>
    <t>Binder Clips - Medium</t>
  </si>
  <si>
    <t>Binder Clips - Small</t>
  </si>
  <si>
    <t>Item 7</t>
  </si>
  <si>
    <t>Binder Notebook 2#</t>
  </si>
  <si>
    <t>Binder Notebook 4#</t>
  </si>
  <si>
    <t>test item 3</t>
  </si>
  <si>
    <t>Binder Notebook 6#</t>
  </si>
  <si>
    <t xml:space="preserve">Copy Paper </t>
  </si>
  <si>
    <t>Copy Paper Red Cross</t>
  </si>
  <si>
    <t>Disinfection Wipes</t>
  </si>
  <si>
    <t>test item 5</t>
  </si>
  <si>
    <t>Duct Tape</t>
  </si>
  <si>
    <t>Folders - Manilla</t>
  </si>
  <si>
    <t>Folders - Haning File</t>
  </si>
  <si>
    <t>Highlighters Yellow</t>
  </si>
  <si>
    <t>Legal Pad - White</t>
  </si>
  <si>
    <t>Legal Pad - Yellow</t>
  </si>
  <si>
    <t>Lysol</t>
  </si>
  <si>
    <t>Mr. Clean</t>
  </si>
  <si>
    <t>Packing Tape</t>
  </si>
  <si>
    <t>Paper Clips - Jumbo</t>
  </si>
  <si>
    <t>Paper Clips - Regular</t>
  </si>
  <si>
    <t>Paper Clips - Small</t>
  </si>
  <si>
    <t>Paper Towels</t>
  </si>
  <si>
    <t>Pencils - Box</t>
  </si>
  <si>
    <t>Pens - Black</t>
  </si>
  <si>
    <t>Pens - Blue</t>
  </si>
  <si>
    <t>Pens - Red</t>
  </si>
  <si>
    <t>Pin - Red Cross</t>
  </si>
  <si>
    <t>Pin - Board of Directors</t>
  </si>
  <si>
    <t>Post-it Notes - Yellow</t>
  </si>
  <si>
    <t>Red Cross Envelopes - Standard</t>
  </si>
  <si>
    <t>Red Cross Letterhead</t>
  </si>
  <si>
    <t>Red Cross Envelopes - Square</t>
  </si>
  <si>
    <t>Red Cross Stationary</t>
  </si>
  <si>
    <t>Rubber Band Assortment</t>
  </si>
  <si>
    <t>Scotch Tape - Large</t>
  </si>
  <si>
    <t>Scotch Tape - Regular</t>
  </si>
  <si>
    <t>Staples - Heavy Duty</t>
  </si>
  <si>
    <t>Staples - Regular</t>
  </si>
  <si>
    <t>Steno Pads</t>
  </si>
  <si>
    <t>Trash Bags Kitchen Size</t>
  </si>
  <si>
    <t>Trash Bags Large</t>
  </si>
  <si>
    <t>Toilet Bowl Cleaner</t>
  </si>
  <si>
    <t>Toilet Paper</t>
  </si>
  <si>
    <t>Windex</t>
  </si>
  <si>
    <t>General Snack Supplies/DCS/Events</t>
  </si>
  <si>
    <t>Candy Bar</t>
  </si>
  <si>
    <t>Coffee Creamer Packets</t>
  </si>
  <si>
    <t>Cofee Decaf</t>
  </si>
  <si>
    <t>test item 9</t>
  </si>
  <si>
    <t>Coffee Regular</t>
  </si>
  <si>
    <t>Cookies Variety Pack</t>
  </si>
  <si>
    <t>Crackers Variety Pack</t>
  </si>
  <si>
    <t>Gatorade/Hydrate</t>
  </si>
  <si>
    <t>Granola Bars Soft</t>
  </si>
  <si>
    <t>Granola Bars Crunchy</t>
  </si>
  <si>
    <t>Hot Chocolate Mix</t>
  </si>
  <si>
    <t>Nuts Variety Packs</t>
  </si>
  <si>
    <t>Potato Chips</t>
  </si>
  <si>
    <t>Pretzels</t>
  </si>
  <si>
    <t>Protien Bars</t>
  </si>
  <si>
    <t>Raisins</t>
  </si>
  <si>
    <t>Snack Cakes</t>
  </si>
  <si>
    <t>Sugar Packets</t>
  </si>
  <si>
    <t>Sugar Packets Aritificial</t>
  </si>
  <si>
    <t>Trial Mix</t>
  </si>
  <si>
    <t>Water</t>
  </si>
  <si>
    <t>Disaster Supplies</t>
  </si>
  <si>
    <t>Animal Crackers</t>
  </si>
  <si>
    <t>Blanket - Red Cross</t>
  </si>
  <si>
    <t>Blanket - Emergency</t>
  </si>
  <si>
    <t>Blanket - Non Standard</t>
  </si>
  <si>
    <t>Booklet - Moving Forward After Disaster</t>
  </si>
  <si>
    <t>Booklet - Moving Forward After Disaster (Spanish)</t>
  </si>
  <si>
    <t>Styrofoam Bowls</t>
  </si>
  <si>
    <t>Styrofoam Clam Shells</t>
  </si>
  <si>
    <t>Brochure - Emergency Assistance Visual Language Translator</t>
  </si>
  <si>
    <t>Brochure - Medical Visual Language Translator</t>
  </si>
  <si>
    <t>Brochure - Medical Visual Language Translator (Spanish)</t>
  </si>
  <si>
    <t>Bucket - Plastic</t>
  </si>
  <si>
    <t>Card - Disaster Service Only White PKG-50</t>
  </si>
  <si>
    <t>Card - Index Open Additional Assistance Case File PKG-50</t>
  </si>
  <si>
    <t>Cambro Drink Beverage</t>
  </si>
  <si>
    <t>Cambro Food Large</t>
  </si>
  <si>
    <t>Cambro Food Smaill</t>
  </si>
  <si>
    <t>Clean Up Kit - National Standard</t>
  </si>
  <si>
    <t>Clean Up Kit - Non Standard</t>
  </si>
  <si>
    <t>Comfort Kit - National Standard Unisex</t>
  </si>
  <si>
    <t>Comfort Kit - Non Standard</t>
  </si>
  <si>
    <t>Comfort Kit - Youth</t>
  </si>
  <si>
    <t>Comfort Kit - Bag Only</t>
  </si>
  <si>
    <t>Cooolers with Wheels</t>
  </si>
  <si>
    <t>Cup - Non Standard Case</t>
  </si>
  <si>
    <t>Cup - Red Cross Logo</t>
  </si>
  <si>
    <t>DAT Kit</t>
  </si>
  <si>
    <t>Forks - Plastic</t>
  </si>
  <si>
    <t>Form - Client Assistance Authorization Form</t>
  </si>
  <si>
    <t>Form - Client Assistance Card Charge Out Record</t>
  </si>
  <si>
    <t>Form - Daily Record Client Assistance Card Issue</t>
  </si>
  <si>
    <t>Form - Home Visit Assignment Sheet</t>
  </si>
  <si>
    <t>Form - Home Visit Note Pad</t>
  </si>
  <si>
    <t>Flash Light with AA Cell Batteries</t>
  </si>
  <si>
    <t>Flash Light with AAA Batteries</t>
  </si>
  <si>
    <t>Flash Light with C Batteries</t>
  </si>
  <si>
    <t>Flash Light with D Batteries</t>
  </si>
  <si>
    <t>Flash Light with No Batteries</t>
  </si>
  <si>
    <t>Easel Flip Board</t>
  </si>
  <si>
    <t>Flood Kits</t>
  </si>
  <si>
    <t>Gloves - Neoprene No Powder</t>
  </si>
  <si>
    <t>Gloves - Work</t>
  </si>
  <si>
    <t>Hand Sanitizer - Large</t>
  </si>
  <si>
    <t>Hand Sanitizer - Small</t>
  </si>
  <si>
    <t>Hang Tag - Disaster Relief</t>
  </si>
  <si>
    <t>Health Services Kit</t>
  </si>
  <si>
    <t>Knives - Plastic</t>
  </si>
  <si>
    <t>Kit - ID Disaster Relief Spanish</t>
  </si>
  <si>
    <t>Kit - ID Disaster Field</t>
  </si>
  <si>
    <t xml:space="preserve">Kit - Poster Shelter Information </t>
  </si>
  <si>
    <t>Kit - Poster Shelter Information (Spanish)</t>
  </si>
  <si>
    <t>Kitchen Kits</t>
  </si>
  <si>
    <t>Cambro Liner - Small</t>
  </si>
  <si>
    <t>Cambro Liner - Large</t>
  </si>
  <si>
    <t>Dust Mask</t>
  </si>
  <si>
    <t>Heater Meals</t>
  </si>
  <si>
    <t>Heater Meals - Kosher</t>
  </si>
  <si>
    <t>Napkins</t>
  </si>
  <si>
    <t>Styrofoam Plates</t>
  </si>
  <si>
    <t>Poster - This Service to Disaster Victims Provided By</t>
  </si>
  <si>
    <t>Rake - Metal</t>
  </si>
  <si>
    <t>Rake - Plastic</t>
  </si>
  <si>
    <t>Shovel Standard</t>
  </si>
  <si>
    <t>Safety Glasses/Goggles</t>
  </si>
  <si>
    <t>Shovel Snow</t>
  </si>
  <si>
    <t>Shrink Wrap Roles</t>
  </si>
  <si>
    <t>Sign - Disaster Utility Pole</t>
  </si>
  <si>
    <t>Sign - Kit DRO HQ</t>
  </si>
  <si>
    <t>Spoodle - Slotted</t>
  </si>
  <si>
    <t>Spoodle - Solid</t>
  </si>
  <si>
    <t>Spoons - plastic</t>
  </si>
  <si>
    <t>Tarp - Large</t>
  </si>
  <si>
    <t>Tarp - Medium</t>
  </si>
  <si>
    <t>Tarp - Small</t>
  </si>
  <si>
    <t>Tote Storage 20 - 30 Gallon</t>
  </si>
  <si>
    <t>Tote Storage Non Standard</t>
  </si>
  <si>
    <t>Toy - Children PlayKit</t>
  </si>
  <si>
    <t>Toy - Mickey Mouse</t>
  </si>
  <si>
    <t>Toy - Stuffed Animal</t>
  </si>
  <si>
    <t>Vest - Disaster Relief</t>
  </si>
  <si>
    <t>Hard Hat - Red Cross</t>
  </si>
  <si>
    <t>Yard Sign - Disaster Relief</t>
  </si>
  <si>
    <t>Yard Sign - Shelter</t>
  </si>
  <si>
    <t>DCS Preparedness</t>
  </si>
  <si>
    <t>PillowCase</t>
  </si>
  <si>
    <t>Pillow Case - Emergency Blankets</t>
  </si>
  <si>
    <t>Pillow Case - Felt Markers</t>
  </si>
  <si>
    <t>Pillow Case - Glow Sticks</t>
  </si>
  <si>
    <t>Pillow Case - Whistles</t>
  </si>
  <si>
    <t>Shelter Starter Kits</t>
  </si>
  <si>
    <t>STA Blitz Packs</t>
  </si>
  <si>
    <t>STA Emergency Packs</t>
  </si>
  <si>
    <t>Service to Armed Forces</t>
  </si>
  <si>
    <t>Brochure - Childrens Reconnection Workshop Flyer</t>
  </si>
  <si>
    <t>Brochure - Coping with Deployments</t>
  </si>
  <si>
    <t>Brochure - Coping with Deployments (Spanish)</t>
  </si>
  <si>
    <t>Brochure - Emergency Communication Wallet Cards</t>
  </si>
  <si>
    <t>Brochure - Family Identifiation Cards</t>
  </si>
  <si>
    <t>Brochure - Reconnection Workshops</t>
  </si>
  <si>
    <t>Brochure - Reconnection Workshops (Spanish)</t>
  </si>
  <si>
    <t>Brochures - Services to the Armed Forces</t>
  </si>
  <si>
    <t>Brochures - Support for Armed Forces and VA Medical Facilities</t>
  </si>
  <si>
    <t xml:space="preserve">Vest - SAF Blue </t>
  </si>
  <si>
    <t>Wallet Calender Cards</t>
  </si>
  <si>
    <t>test item 4</t>
  </si>
  <si>
    <t>test item 10</t>
  </si>
  <si>
    <t>test item 11</t>
  </si>
  <si>
    <t>test item 12</t>
  </si>
  <si>
    <t>test item 13</t>
  </si>
  <si>
    <t>Locations</t>
  </si>
  <si>
    <t>McAlester Regional Warehouse</t>
  </si>
  <si>
    <t>McAlester National Warehouse</t>
  </si>
  <si>
    <t>McAlester Regional Smoke Alarm &amp; Supplies</t>
  </si>
  <si>
    <t>McAlester Regional Pillowcases and Supplies</t>
  </si>
  <si>
    <t>Tulsa Regional Pillowcases and Supplies</t>
  </si>
  <si>
    <t>Tulsa Regional Smoke Alarm &amp; Supplies</t>
  </si>
  <si>
    <t>Tulsa Regional Warehouse</t>
  </si>
  <si>
    <t>McAlester storage</t>
  </si>
  <si>
    <t>Ardmore storage</t>
  </si>
  <si>
    <t>Shawnee storage</t>
  </si>
  <si>
    <t>Altus storage</t>
  </si>
  <si>
    <t>Lawton storage</t>
  </si>
  <si>
    <t>Norman storage</t>
  </si>
  <si>
    <t>Bartlesville storage</t>
  </si>
  <si>
    <t>Blackwell storage</t>
  </si>
  <si>
    <t>Muskogee storage</t>
  </si>
  <si>
    <t>Ponca City storage</t>
  </si>
  <si>
    <t>Stillwater storage</t>
  </si>
  <si>
    <t>Elk City storage</t>
  </si>
  <si>
    <t>Enid storage</t>
  </si>
  <si>
    <t>Guthrie storage</t>
  </si>
  <si>
    <t>Guymon storage</t>
  </si>
  <si>
    <t>Woodward storage</t>
  </si>
  <si>
    <t>Pauls Valley</t>
  </si>
  <si>
    <t>Elk City Donated Storage Site</t>
  </si>
  <si>
    <t>Lawton Donated Storage Site</t>
  </si>
  <si>
    <t>Stillwater offsite storage</t>
  </si>
  <si>
    <t>Partner Locations</t>
  </si>
  <si>
    <t>b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</si>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</sst>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1" fillId="0" borderId="0" xfId="0" applyNumberFormat="1" applyFont="1" applyAlignment="1">
      <alignment wrapText="1"/>
    </xf>
    <xf numFmtId="0" fontId="1" fillId="0" borderId="0" xfId="0" applyFont="1"/>
    <xf numFmtId="14" fontId="1" fillId="0" borderId="0" xfId="0" applyNumberFormat="1" applyFont="1"/>
    <xf numFmtId="49" fontId="1" fillId="0" borderId="0" xfId="0" applyNumberFormat="1" applyFont="1"/>
    <xf numFmtId="0" fontId="2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49" fontId="4" fillId="0" borderId="0" xfId="0" applyNumberFormat="1" applyFont="1"/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1" fillId="2" borderId="0" xfId="0" applyFont="1" applyFill="1"/>
    <xf numFmtId="0" fontId="5" fillId="0" borderId="0" xfId="0" applyFont="1"/>
    <xf numFmtId="49" fontId="6" fillId="0" borderId="0" xfId="0" applyNumberFormat="1" applyFont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/>
    <xf numFmtId="49" fontId="6" fillId="0" borderId="0" xfId="0" applyNumberFormat="1" applyFont="1"/>
    <xf numFmtId="14" fontId="6" fillId="0" borderId="0" xfId="0" applyNumberFormat="1" applyFont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30" formatCode="@"/>
    </dxf>
    <dxf>
      <numFmt numFmtId="0" formatCode="General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2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Locations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Lot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Receipts" displayName="Receipts" ref="A1:I43" totalsRowShown="0" headerRowDxfId="18">
  <tableColumns count="9">
    <tableColumn id="1" name="item"/>
    <tableColumn id="2" name="date received" dataDxfId="17"/>
    <tableColumn id="3" name="expiration date" dataDxfId="16"/>
    <tableColumn id="4" name="Quantity Received"/>
    <tableColumn id="5" name="Received 6409" dataDxfId="15"/>
    <tableColumn id="8" name="Lot"/>
    <tableColumn id="6" name="Quantity Consumed" dataDxfId="14">
      <calculatedColumnFormula>SUMIFS(Quantity,Received_6409,E2,Pulled_Lot,F2,Pulled_Item,A2)</calculatedColumnFormula>
    </tableColumn>
    <tableColumn id="7" name="Quantity Available">
      <calculatedColumnFormula>D2-G2</calculatedColumnFormula>
    </tableColumn>
    <tableColumn id="9" name="Warehouse" dataDxfId="13">
      <calculatedColumnFormula>Warehouse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Pulled" displayName="Pulled" ref="A1:G23" totalsRowShown="0" headerRowDxfId="12">
  <autoFilter ref="A1:G23"/>
  <tableColumns count="7">
    <tableColumn id="1" name="item" dataDxfId="11"/>
    <tableColumn id="2" name="Received 6409" dataDxfId="10"/>
    <tableColumn id="6" name="Lot" dataDxfId="9"/>
    <tableColumn id="3" name="Shipped 6409" dataDxfId="8"/>
    <tableColumn id="4" name="Date" dataDxfId="7"/>
    <tableColumn id="5" name="Quantity"/>
    <tableColumn id="7" name="Warehouse" dataDxfId="6">
      <calculatedColumnFormula>Warehouse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Shipped" displayName="Shipped" ref="A1:F22" totalsRowShown="0">
  <autoFilter ref="A1:F22"/>
  <tableColumns count="6">
    <tableColumn id="1" name="Item"/>
    <tableColumn id="2" name="Shipped 6409" dataDxfId="5"/>
    <tableColumn id="3" name="Date" dataDxfId="4"/>
    <tableColumn id="4" name="Quantity"/>
    <tableColumn id="5" name="Location"/>
    <tableColumn id="6" name="Warehouse" dataDxfId="3">
      <calculatedColumnFormula>Warehouse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Items" displayName="Items" ref="A1:A196" tableType="queryTable" totalsRowShown="0">
  <autoFilter ref="A1:A196"/>
  <tableColumns count="1">
    <tableColumn id="2" uniqueName="2" name="Item" queryTableFieldId="1" dataDxf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Locations" displayName="Locations" ref="A1:A35" tableType="queryTable" totalsRowShown="0">
  <autoFilter ref="A1:A35"/>
  <tableColumns count="1">
    <tableColumn id="2" uniqueName="2" name="Locations" queryTableFieldId="1" dataDxf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5" name="Lot" displayName="Lot" ref="A1:A27" tableType="queryTable" totalsRowShown="0">
  <autoFilter ref="A1:A27"/>
  <tableColumns count="1">
    <tableColumn id="2" uniqueName="2" name="Lot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3"/>
  <sheetViews>
    <sheetView workbookViewId="0">
      <selection activeCell="J3" sqref="J3"/>
    </sheetView>
  </sheetViews>
  <sheetFormatPr defaultColWidth="9.140625" defaultRowHeight="15" x14ac:dyDescent="0.25"/>
  <cols>
    <col min="1" max="1" width="25" style="8" bestFit="1" customWidth="1"/>
    <col min="2" max="2" width="10.85546875" style="9" customWidth="1"/>
    <col min="3" max="3" width="24.7109375" style="9" bestFit="1" customWidth="1"/>
    <col min="4" max="4" width="15.28515625" style="8" customWidth="1"/>
    <col min="5" max="5" width="16.28515625" style="10" customWidth="1"/>
    <col min="6" max="6" width="15.7109375" style="8" customWidth="1"/>
    <col min="7" max="7" width="14.42578125" style="8" customWidth="1"/>
    <col min="8" max="8" width="15.42578125" style="8" customWidth="1"/>
    <col min="9" max="9" width="19.5703125" style="10" customWidth="1"/>
    <col min="10" max="10" width="9.140625" style="8"/>
    <col min="11" max="11" width="15.7109375" style="8" customWidth="1"/>
    <col min="12" max="12" width="14.85546875" style="8" customWidth="1"/>
    <col min="13" max="13" width="9.7109375" style="8" bestFit="1" customWidth="1"/>
    <col min="14" max="14" width="10.85546875" style="8" customWidth="1"/>
    <col min="15" max="16384" width="9.140625" style="8"/>
  </cols>
  <sheetData>
    <row r="1" spans="1:12" ht="27" customHeight="1" x14ac:dyDescent="0.25">
      <c r="A1" s="11" t="s">
        <v>0</v>
      </c>
      <c r="B1" s="12" t="s">
        <v>1</v>
      </c>
      <c r="C1" s="13" t="s">
        <v>2</v>
      </c>
      <c r="D1" s="14" t="s">
        <v>3</v>
      </c>
      <c r="E1" s="1" t="s">
        <v>4</v>
      </c>
      <c r="F1" s="14" t="s">
        <v>5</v>
      </c>
      <c r="G1" s="14" t="s">
        <v>6</v>
      </c>
      <c r="H1" s="14" t="s">
        <v>7</v>
      </c>
      <c r="I1" s="1" t="s">
        <v>8</v>
      </c>
      <c r="J1" s="11"/>
      <c r="K1" s="2"/>
      <c r="L1" s="15" t="s">
        <v>8</v>
      </c>
    </row>
    <row r="2" spans="1:12" x14ac:dyDescent="0.25">
      <c r="A2" s="2" t="s">
        <v>9</v>
      </c>
      <c r="B2" s="3">
        <v>43191</v>
      </c>
      <c r="C2" s="3">
        <v>43647</v>
      </c>
      <c r="D2" s="2">
        <v>25</v>
      </c>
      <c r="E2" s="4" t="s">
        <v>10</v>
      </c>
      <c r="F2" s="2" t="s">
        <v>11</v>
      </c>
      <c r="G2" s="2">
        <f t="shared" ref="G2:G18" si="0">SUMIFS(Quantity,Received_6409,E2,Pulled_Lot,F2,Pulled_Item,A2)</f>
        <v>22</v>
      </c>
      <c r="H2" s="2">
        <f t="shared" ref="H2:H6" si="1">D2-G2</f>
        <v>3</v>
      </c>
      <c r="I2" s="2" t="str">
        <f t="shared" ref="I2:I18" si="2">Warehouse</f>
        <v>Tulsa</v>
      </c>
      <c r="J2" s="2"/>
      <c r="K2" s="2"/>
      <c r="L2" s="2" t="s">
        <v>12</v>
      </c>
    </row>
    <row r="3" spans="1:12" x14ac:dyDescent="0.25">
      <c r="A3" s="2" t="s">
        <v>13</v>
      </c>
      <c r="B3" s="3">
        <v>43160</v>
      </c>
      <c r="C3" s="3">
        <v>43525</v>
      </c>
      <c r="D3" s="2">
        <v>25</v>
      </c>
      <c r="E3" s="4" t="s">
        <v>14</v>
      </c>
      <c r="F3" s="2" t="s">
        <v>11</v>
      </c>
      <c r="G3" s="2">
        <f t="shared" si="0"/>
        <v>19</v>
      </c>
      <c r="H3" s="2">
        <f t="shared" si="1"/>
        <v>6</v>
      </c>
      <c r="I3" s="2" t="str">
        <f t="shared" si="2"/>
        <v>Tulsa</v>
      </c>
      <c r="J3" s="2"/>
      <c r="K3" s="2"/>
      <c r="L3" s="2"/>
    </row>
    <row r="4" spans="1:12" x14ac:dyDescent="0.25">
      <c r="A4" s="2" t="s">
        <v>15</v>
      </c>
      <c r="B4" s="3">
        <v>43191</v>
      </c>
      <c r="C4" s="3"/>
      <c r="D4" s="2">
        <v>40</v>
      </c>
      <c r="E4" s="4" t="s">
        <v>16</v>
      </c>
      <c r="F4" s="2" t="s">
        <v>17</v>
      </c>
      <c r="G4" s="2">
        <f t="shared" si="0"/>
        <v>0</v>
      </c>
      <c r="H4" s="2">
        <f t="shared" si="1"/>
        <v>40</v>
      </c>
      <c r="I4" s="2" t="str">
        <f t="shared" si="2"/>
        <v>Tulsa</v>
      </c>
      <c r="J4" s="2"/>
      <c r="K4" s="2"/>
      <c r="L4" s="2"/>
    </row>
    <row r="5" spans="1:12" x14ac:dyDescent="0.25">
      <c r="A5" s="2" t="s">
        <v>18</v>
      </c>
      <c r="B5" s="3">
        <v>43221</v>
      </c>
      <c r="C5" s="3"/>
      <c r="D5" s="2">
        <v>50</v>
      </c>
      <c r="E5" s="4" t="s">
        <v>19</v>
      </c>
      <c r="F5" s="2" t="s">
        <v>20</v>
      </c>
      <c r="G5" s="2">
        <f t="shared" si="0"/>
        <v>0</v>
      </c>
      <c r="H5" s="2">
        <f t="shared" si="1"/>
        <v>50</v>
      </c>
      <c r="I5" s="2" t="str">
        <f t="shared" si="2"/>
        <v>Tulsa</v>
      </c>
      <c r="J5" s="2"/>
      <c r="K5" s="2"/>
      <c r="L5" s="2"/>
    </row>
    <row r="6" spans="1:12" x14ac:dyDescent="0.25">
      <c r="A6" s="2" t="s">
        <v>21</v>
      </c>
      <c r="B6" s="3">
        <v>43252</v>
      </c>
      <c r="C6" s="3"/>
      <c r="D6" s="2">
        <v>40</v>
      </c>
      <c r="E6" s="4" t="s">
        <v>22</v>
      </c>
      <c r="F6" s="2" t="s">
        <v>23</v>
      </c>
      <c r="G6" s="2">
        <f t="shared" si="0"/>
        <v>5</v>
      </c>
      <c r="H6" s="2">
        <f t="shared" si="1"/>
        <v>35</v>
      </c>
      <c r="I6" s="2" t="str">
        <f t="shared" si="2"/>
        <v>Tulsa</v>
      </c>
      <c r="J6" s="2"/>
      <c r="K6" s="2"/>
      <c r="L6" s="2"/>
    </row>
    <row r="7" spans="1:12" x14ac:dyDescent="0.25">
      <c r="A7" s="2" t="s">
        <v>13</v>
      </c>
      <c r="B7" s="3">
        <v>43252</v>
      </c>
      <c r="C7" s="3">
        <v>43556</v>
      </c>
      <c r="D7" s="2">
        <v>20</v>
      </c>
      <c r="E7" s="4" t="s">
        <v>22</v>
      </c>
      <c r="F7" s="2" t="s">
        <v>20</v>
      </c>
      <c r="G7" s="2">
        <f t="shared" si="0"/>
        <v>13</v>
      </c>
      <c r="H7" s="2">
        <f t="shared" ref="H7:H18" si="3">D7-G7</f>
        <v>7</v>
      </c>
      <c r="I7" s="2" t="str">
        <f t="shared" si="2"/>
        <v>Tulsa</v>
      </c>
      <c r="J7" s="2"/>
      <c r="K7" s="2"/>
      <c r="L7" s="2"/>
    </row>
    <row r="8" spans="1:12" x14ac:dyDescent="0.25">
      <c r="A8" s="2" t="s">
        <v>9</v>
      </c>
      <c r="B8" s="3">
        <v>43283</v>
      </c>
      <c r="C8" s="3"/>
      <c r="D8" s="2">
        <v>5</v>
      </c>
      <c r="E8" s="4" t="s">
        <v>24</v>
      </c>
      <c r="F8" s="2" t="s">
        <v>11</v>
      </c>
      <c r="G8" s="2">
        <f t="shared" si="0"/>
        <v>0</v>
      </c>
      <c r="H8" s="2">
        <f t="shared" si="3"/>
        <v>5</v>
      </c>
      <c r="I8" s="2" t="str">
        <f t="shared" si="2"/>
        <v>Tulsa</v>
      </c>
      <c r="J8" s="2"/>
      <c r="K8" s="2"/>
      <c r="L8" s="2"/>
    </row>
    <row r="9" spans="1:12" x14ac:dyDescent="0.25">
      <c r="A9" s="2" t="s">
        <v>13</v>
      </c>
      <c r="B9" s="3">
        <v>43283</v>
      </c>
      <c r="C9" s="3">
        <v>43648</v>
      </c>
      <c r="D9" s="2">
        <v>10</v>
      </c>
      <c r="E9" s="4" t="s">
        <v>24</v>
      </c>
      <c r="F9" s="2" t="s">
        <v>11</v>
      </c>
      <c r="G9" s="2">
        <f t="shared" si="0"/>
        <v>5</v>
      </c>
      <c r="H9" s="2">
        <f t="shared" si="3"/>
        <v>5</v>
      </c>
      <c r="I9" s="2" t="str">
        <f t="shared" si="2"/>
        <v>Tulsa</v>
      </c>
      <c r="J9" s="2"/>
      <c r="K9" s="2"/>
      <c r="L9" s="2"/>
    </row>
    <row r="10" spans="1:12" x14ac:dyDescent="0.25">
      <c r="A10" s="2" t="s">
        <v>25</v>
      </c>
      <c r="B10" s="3">
        <v>43283</v>
      </c>
      <c r="C10" s="3">
        <v>43648</v>
      </c>
      <c r="D10" s="2">
        <v>10</v>
      </c>
      <c r="E10" s="4" t="s">
        <v>24</v>
      </c>
      <c r="F10" s="2" t="s">
        <v>11</v>
      </c>
      <c r="G10" s="2">
        <f t="shared" si="0"/>
        <v>4</v>
      </c>
      <c r="H10" s="2">
        <f t="shared" si="3"/>
        <v>6</v>
      </c>
      <c r="I10" s="2" t="str">
        <f t="shared" si="2"/>
        <v>Tulsa</v>
      </c>
      <c r="J10" s="2"/>
      <c r="K10" s="2"/>
      <c r="L10" s="2"/>
    </row>
    <row r="11" spans="1:12" x14ac:dyDescent="0.25">
      <c r="A11" s="2" t="s">
        <v>26</v>
      </c>
      <c r="B11" s="3">
        <v>43225</v>
      </c>
      <c r="C11" s="3"/>
      <c r="D11" s="2">
        <v>10</v>
      </c>
      <c r="E11" s="4" t="s">
        <v>27</v>
      </c>
      <c r="F11" s="2" t="s">
        <v>11</v>
      </c>
      <c r="G11" s="2">
        <f t="shared" si="0"/>
        <v>0</v>
      </c>
      <c r="H11" s="2">
        <f t="shared" si="3"/>
        <v>10</v>
      </c>
      <c r="I11" s="2" t="str">
        <f t="shared" si="2"/>
        <v>Tulsa</v>
      </c>
      <c r="J11" s="2"/>
      <c r="K11" s="2"/>
      <c r="L11" s="2"/>
    </row>
    <row r="12" spans="1:12" x14ac:dyDescent="0.25">
      <c r="A12" s="2" t="s">
        <v>21</v>
      </c>
      <c r="B12" s="3">
        <v>43225</v>
      </c>
      <c r="C12" s="3"/>
      <c r="D12" s="2">
        <v>10</v>
      </c>
      <c r="E12" s="4" t="s">
        <v>27</v>
      </c>
      <c r="F12" s="2" t="s">
        <v>11</v>
      </c>
      <c r="G12" s="2">
        <f t="shared" si="0"/>
        <v>0</v>
      </c>
      <c r="H12" s="2">
        <f t="shared" si="3"/>
        <v>10</v>
      </c>
      <c r="I12" s="2" t="str">
        <f t="shared" si="2"/>
        <v>Tulsa</v>
      </c>
      <c r="J12" s="2"/>
      <c r="K12" s="2"/>
      <c r="L12" s="2"/>
    </row>
    <row r="13" spans="1:12" x14ac:dyDescent="0.25">
      <c r="A13" s="2" t="s">
        <v>18</v>
      </c>
      <c r="B13" s="3">
        <v>43225</v>
      </c>
      <c r="C13" s="3"/>
      <c r="D13" s="2">
        <v>10</v>
      </c>
      <c r="E13" s="4" t="s">
        <v>27</v>
      </c>
      <c r="F13" s="2" t="s">
        <v>11</v>
      </c>
      <c r="G13" s="2">
        <f t="shared" si="0"/>
        <v>0</v>
      </c>
      <c r="H13" s="2">
        <f t="shared" si="3"/>
        <v>10</v>
      </c>
      <c r="I13" s="2" t="str">
        <f t="shared" si="2"/>
        <v>Tulsa</v>
      </c>
      <c r="J13" s="2"/>
      <c r="K13" s="2"/>
      <c r="L13" s="2"/>
    </row>
    <row r="14" spans="1:12" x14ac:dyDescent="0.25">
      <c r="A14" s="2" t="s">
        <v>26</v>
      </c>
      <c r="B14" s="3">
        <v>43225</v>
      </c>
      <c r="C14" s="3"/>
      <c r="D14" s="2">
        <v>5</v>
      </c>
      <c r="E14" s="4" t="s">
        <v>28</v>
      </c>
      <c r="F14" s="2" t="s">
        <v>11</v>
      </c>
      <c r="G14" s="2">
        <f t="shared" si="0"/>
        <v>5</v>
      </c>
      <c r="H14" s="2">
        <f t="shared" si="3"/>
        <v>0</v>
      </c>
      <c r="I14" s="2" t="str">
        <f t="shared" si="2"/>
        <v>Tulsa</v>
      </c>
      <c r="J14" s="2"/>
      <c r="K14" s="2"/>
      <c r="L14" s="2"/>
    </row>
    <row r="15" spans="1:12" x14ac:dyDescent="0.25">
      <c r="A15" s="2" t="s">
        <v>21</v>
      </c>
      <c r="B15" s="3">
        <v>43225</v>
      </c>
      <c r="C15" s="3"/>
      <c r="D15" s="2">
        <v>5</v>
      </c>
      <c r="E15" s="4" t="s">
        <v>28</v>
      </c>
      <c r="F15" s="2" t="s">
        <v>11</v>
      </c>
      <c r="G15" s="2">
        <f t="shared" si="0"/>
        <v>0</v>
      </c>
      <c r="H15" s="2">
        <f t="shared" si="3"/>
        <v>5</v>
      </c>
      <c r="I15" s="2" t="str">
        <f t="shared" si="2"/>
        <v>Tulsa</v>
      </c>
      <c r="J15" s="2"/>
      <c r="K15" s="2"/>
      <c r="L15" s="2"/>
    </row>
    <row r="16" spans="1:12" x14ac:dyDescent="0.25">
      <c r="A16" s="2" t="s">
        <v>18</v>
      </c>
      <c r="B16" s="3">
        <v>43225</v>
      </c>
      <c r="C16" s="3"/>
      <c r="D16" s="2">
        <v>5</v>
      </c>
      <c r="E16" s="4" t="s">
        <v>28</v>
      </c>
      <c r="F16" s="2" t="s">
        <v>11</v>
      </c>
      <c r="G16" s="2">
        <f t="shared" si="0"/>
        <v>0</v>
      </c>
      <c r="H16" s="2">
        <f t="shared" si="3"/>
        <v>5</v>
      </c>
      <c r="I16" s="2" t="str">
        <f t="shared" si="2"/>
        <v>Tulsa</v>
      </c>
      <c r="J16" s="2"/>
      <c r="K16" s="2"/>
      <c r="L16" s="2"/>
    </row>
    <row r="17" spans="1:9" x14ac:dyDescent="0.25">
      <c r="A17" s="2" t="s">
        <v>25</v>
      </c>
      <c r="B17" s="3">
        <v>43225</v>
      </c>
      <c r="C17" s="3">
        <v>43560</v>
      </c>
      <c r="D17" s="2">
        <v>10</v>
      </c>
      <c r="E17" s="4" t="s">
        <v>28</v>
      </c>
      <c r="F17" s="2" t="s">
        <v>11</v>
      </c>
      <c r="G17" s="2">
        <f t="shared" si="0"/>
        <v>5</v>
      </c>
      <c r="H17" s="2">
        <f t="shared" si="3"/>
        <v>5</v>
      </c>
      <c r="I17" s="2" t="str">
        <f t="shared" si="2"/>
        <v>Tulsa</v>
      </c>
    </row>
    <row r="18" spans="1:9" x14ac:dyDescent="0.25">
      <c r="A18" s="2" t="s">
        <v>21</v>
      </c>
      <c r="B18" s="3">
        <v>43191</v>
      </c>
      <c r="C18" s="3"/>
      <c r="D18" s="2">
        <v>20</v>
      </c>
      <c r="E18" s="4" t="s">
        <v>10</v>
      </c>
      <c r="F18" s="2" t="s">
        <v>11</v>
      </c>
      <c r="G18" s="2">
        <f t="shared" si="0"/>
        <v>0</v>
      </c>
      <c r="H18" s="2">
        <f t="shared" si="3"/>
        <v>20</v>
      </c>
      <c r="I18" s="2" t="str">
        <f t="shared" si="2"/>
        <v>Tulsa</v>
      </c>
    </row>
    <row r="19" spans="1:9" x14ac:dyDescent="0.25">
      <c r="A19" s="2" t="s">
        <v>25</v>
      </c>
      <c r="B19" s="3">
        <v>43225</v>
      </c>
      <c r="C19" s="3">
        <v>43591</v>
      </c>
      <c r="D19" s="2">
        <v>30</v>
      </c>
      <c r="E19" s="4" t="s">
        <v>29</v>
      </c>
      <c r="F19" s="2" t="s">
        <v>20</v>
      </c>
      <c r="G19" s="2">
        <f t="shared" ref="G19:G26" si="4">SUMIFS(Quantity,Received_6409,E19,Pulled_Lot,F19,Pulled_Item,A19)</f>
        <v>0</v>
      </c>
      <c r="H19" s="2">
        <f t="shared" ref="H19:H26" si="5">D19-G19</f>
        <v>30</v>
      </c>
      <c r="I19" s="2" t="str">
        <f t="shared" ref="I19:I26" si="6">Warehouse</f>
        <v>Tulsa</v>
      </c>
    </row>
    <row r="20" spans="1:9" x14ac:dyDescent="0.25">
      <c r="A20" s="2" t="s">
        <v>26</v>
      </c>
      <c r="B20" s="3">
        <v>43225</v>
      </c>
      <c r="C20" s="3"/>
      <c r="D20" s="2">
        <v>10</v>
      </c>
      <c r="E20" s="4" t="s">
        <v>29</v>
      </c>
      <c r="F20" s="2" t="s">
        <v>20</v>
      </c>
      <c r="G20" s="2">
        <f t="shared" si="4"/>
        <v>0</v>
      </c>
      <c r="H20" s="2">
        <f t="shared" si="5"/>
        <v>10</v>
      </c>
      <c r="I20" s="2" t="str">
        <f t="shared" si="6"/>
        <v>Tulsa</v>
      </c>
    </row>
    <row r="21" spans="1:9" x14ac:dyDescent="0.25">
      <c r="A21" s="2" t="s">
        <v>21</v>
      </c>
      <c r="B21" s="3">
        <v>43225</v>
      </c>
      <c r="C21" s="3"/>
      <c r="D21" s="2">
        <v>20</v>
      </c>
      <c r="E21" s="4" t="s">
        <v>29</v>
      </c>
      <c r="F21" s="2" t="s">
        <v>30</v>
      </c>
      <c r="G21" s="2">
        <f t="shared" si="4"/>
        <v>0</v>
      </c>
      <c r="H21" s="2">
        <f t="shared" si="5"/>
        <v>20</v>
      </c>
      <c r="I21" s="2" t="str">
        <f t="shared" si="6"/>
        <v>Tulsa</v>
      </c>
    </row>
    <row r="22" spans="1:9" x14ac:dyDescent="0.25">
      <c r="A22" s="2" t="s">
        <v>25</v>
      </c>
      <c r="B22" s="3">
        <v>43225</v>
      </c>
      <c r="C22" s="3">
        <v>43591</v>
      </c>
      <c r="D22" s="2">
        <v>30</v>
      </c>
      <c r="E22" s="4" t="s">
        <v>31</v>
      </c>
      <c r="F22" s="2" t="s">
        <v>20</v>
      </c>
      <c r="G22" s="2">
        <f t="shared" si="4"/>
        <v>0</v>
      </c>
      <c r="H22" s="2">
        <f t="shared" si="5"/>
        <v>30</v>
      </c>
      <c r="I22" s="2" t="str">
        <f t="shared" si="6"/>
        <v>Tulsa</v>
      </c>
    </row>
    <row r="23" spans="1:9" x14ac:dyDescent="0.25">
      <c r="A23" s="2" t="s">
        <v>26</v>
      </c>
      <c r="B23" s="3">
        <v>43225</v>
      </c>
      <c r="C23" s="3"/>
      <c r="D23" s="2">
        <v>10</v>
      </c>
      <c r="E23" s="4" t="s">
        <v>31</v>
      </c>
      <c r="F23" s="2" t="s">
        <v>20</v>
      </c>
      <c r="G23" s="2">
        <f t="shared" si="4"/>
        <v>5</v>
      </c>
      <c r="H23" s="2">
        <f t="shared" si="5"/>
        <v>5</v>
      </c>
      <c r="I23" s="2" t="str">
        <f t="shared" si="6"/>
        <v>Tulsa</v>
      </c>
    </row>
    <row r="24" spans="1:9" x14ac:dyDescent="0.25">
      <c r="A24" s="2" t="s">
        <v>21</v>
      </c>
      <c r="B24" s="3">
        <v>43225</v>
      </c>
      <c r="C24" s="3"/>
      <c r="D24" s="2">
        <v>20</v>
      </c>
      <c r="E24" s="4" t="s">
        <v>31</v>
      </c>
      <c r="F24" s="2" t="s">
        <v>30</v>
      </c>
      <c r="G24" s="2">
        <f t="shared" si="4"/>
        <v>0</v>
      </c>
      <c r="H24" s="2">
        <f t="shared" si="5"/>
        <v>20</v>
      </c>
      <c r="I24" s="2" t="str">
        <f t="shared" si="6"/>
        <v>Tulsa</v>
      </c>
    </row>
    <row r="25" spans="1:9" x14ac:dyDescent="0.25">
      <c r="A25" s="2" t="s">
        <v>25</v>
      </c>
      <c r="B25" s="3">
        <v>43225</v>
      </c>
      <c r="C25" s="3">
        <v>43591</v>
      </c>
      <c r="D25" s="2">
        <v>40</v>
      </c>
      <c r="E25" s="4" t="s">
        <v>32</v>
      </c>
      <c r="F25" s="2" t="s">
        <v>20</v>
      </c>
      <c r="G25" s="2">
        <f t="shared" si="4"/>
        <v>0</v>
      </c>
      <c r="H25" s="2">
        <f t="shared" si="5"/>
        <v>40</v>
      </c>
      <c r="I25" s="2" t="str">
        <f t="shared" si="6"/>
        <v>Tulsa</v>
      </c>
    </row>
    <row r="26" spans="1:9" x14ac:dyDescent="0.25">
      <c r="A26" s="2" t="s">
        <v>26</v>
      </c>
      <c r="B26" s="3">
        <v>43225</v>
      </c>
      <c r="C26" s="3"/>
      <c r="D26" s="2">
        <v>10</v>
      </c>
      <c r="E26" s="4" t="s">
        <v>32</v>
      </c>
      <c r="F26" s="2" t="s">
        <v>20</v>
      </c>
      <c r="G26" s="2">
        <f t="shared" si="4"/>
        <v>0</v>
      </c>
      <c r="H26" s="2">
        <f t="shared" si="5"/>
        <v>10</v>
      </c>
      <c r="I26" s="2" t="str">
        <f t="shared" si="6"/>
        <v>Tulsa</v>
      </c>
    </row>
    <row r="27" spans="1:9" x14ac:dyDescent="0.25">
      <c r="A27" s="2" t="s">
        <v>13</v>
      </c>
      <c r="B27" s="3">
        <v>43225</v>
      </c>
      <c r="C27" s="3">
        <v>43590</v>
      </c>
      <c r="D27" s="2">
        <v>10</v>
      </c>
      <c r="E27" s="4" t="s">
        <v>28</v>
      </c>
      <c r="F27" s="2" t="s">
        <v>11</v>
      </c>
      <c r="G27" s="2">
        <f t="shared" ref="G27:G36" si="7">SUMIFS(Quantity,Received_6409,E27,Pulled_Lot,F27,Pulled_Item,A27)</f>
        <v>0</v>
      </c>
      <c r="H27" s="2">
        <f t="shared" ref="H27:H36" si="8">D27-G27</f>
        <v>10</v>
      </c>
      <c r="I27" s="2" t="str">
        <f t="shared" ref="I27:I36" si="9">Warehouse</f>
        <v>Tulsa</v>
      </c>
    </row>
    <row r="28" spans="1:9" x14ac:dyDescent="0.25">
      <c r="A28" s="2" t="s">
        <v>33</v>
      </c>
      <c r="B28" s="3">
        <v>43225</v>
      </c>
      <c r="C28" s="3"/>
      <c r="D28" s="2">
        <v>10</v>
      </c>
      <c r="E28" s="4" t="s">
        <v>28</v>
      </c>
      <c r="F28" s="2" t="s">
        <v>11</v>
      </c>
      <c r="G28" s="2">
        <f t="shared" si="7"/>
        <v>0</v>
      </c>
      <c r="H28" s="2">
        <f t="shared" si="8"/>
        <v>10</v>
      </c>
      <c r="I28" s="2" t="str">
        <f t="shared" si="9"/>
        <v>Tulsa</v>
      </c>
    </row>
    <row r="29" spans="1:9" x14ac:dyDescent="0.25">
      <c r="A29" s="2" t="s">
        <v>18</v>
      </c>
      <c r="B29" s="3">
        <v>43225</v>
      </c>
      <c r="C29" s="3"/>
      <c r="D29" s="2">
        <v>10</v>
      </c>
      <c r="E29" s="4" t="s">
        <v>34</v>
      </c>
      <c r="F29" s="2" t="s">
        <v>11</v>
      </c>
      <c r="G29" s="2">
        <f t="shared" si="7"/>
        <v>0</v>
      </c>
      <c r="H29" s="2">
        <f t="shared" si="8"/>
        <v>10</v>
      </c>
      <c r="I29" s="2" t="str">
        <f t="shared" si="9"/>
        <v>Tulsa</v>
      </c>
    </row>
    <row r="30" spans="1:9" x14ac:dyDescent="0.25">
      <c r="A30" s="2" t="s">
        <v>25</v>
      </c>
      <c r="B30" s="3">
        <v>43225</v>
      </c>
      <c r="C30" s="3">
        <v>43560</v>
      </c>
      <c r="D30" s="2">
        <v>10</v>
      </c>
      <c r="E30" s="4" t="s">
        <v>34</v>
      </c>
      <c r="F30" s="2" t="s">
        <v>11</v>
      </c>
      <c r="G30" s="2">
        <f t="shared" si="7"/>
        <v>0</v>
      </c>
      <c r="H30" s="2">
        <f t="shared" si="8"/>
        <v>10</v>
      </c>
      <c r="I30" s="2" t="str">
        <f t="shared" si="9"/>
        <v>Tulsa</v>
      </c>
    </row>
    <row r="31" spans="1:9" x14ac:dyDescent="0.25">
      <c r="A31" s="2" t="s">
        <v>13</v>
      </c>
      <c r="B31" s="3">
        <v>43225</v>
      </c>
      <c r="C31" s="3">
        <v>43590</v>
      </c>
      <c r="D31" s="2">
        <v>10</v>
      </c>
      <c r="E31" s="4" t="s">
        <v>34</v>
      </c>
      <c r="F31" s="2" t="s">
        <v>11</v>
      </c>
      <c r="G31" s="2">
        <f t="shared" si="7"/>
        <v>0</v>
      </c>
      <c r="H31" s="2">
        <f t="shared" si="8"/>
        <v>10</v>
      </c>
      <c r="I31" s="2" t="str">
        <f t="shared" si="9"/>
        <v>Tulsa</v>
      </c>
    </row>
    <row r="32" spans="1:9" x14ac:dyDescent="0.25">
      <c r="A32" s="2" t="s">
        <v>33</v>
      </c>
      <c r="B32" s="3">
        <v>43225</v>
      </c>
      <c r="C32" s="3"/>
      <c r="D32" s="2">
        <v>10</v>
      </c>
      <c r="E32" s="4" t="s">
        <v>34</v>
      </c>
      <c r="F32" s="2" t="s">
        <v>11</v>
      </c>
      <c r="G32" s="2">
        <f t="shared" si="7"/>
        <v>0</v>
      </c>
      <c r="H32" s="2">
        <f t="shared" si="8"/>
        <v>10</v>
      </c>
      <c r="I32" s="2" t="str">
        <f t="shared" si="9"/>
        <v>Tulsa</v>
      </c>
    </row>
    <row r="33" spans="1:9" x14ac:dyDescent="0.25">
      <c r="A33" s="2" t="s">
        <v>18</v>
      </c>
      <c r="B33" s="3">
        <v>43225</v>
      </c>
      <c r="C33" s="3"/>
      <c r="D33" s="2">
        <v>5</v>
      </c>
      <c r="E33" s="4" t="s">
        <v>35</v>
      </c>
      <c r="F33" s="2" t="s">
        <v>11</v>
      </c>
      <c r="G33" s="2">
        <f t="shared" si="7"/>
        <v>0</v>
      </c>
      <c r="H33" s="2">
        <f t="shared" si="8"/>
        <v>5</v>
      </c>
      <c r="I33" s="2" t="str">
        <f t="shared" si="9"/>
        <v>Tulsa</v>
      </c>
    </row>
    <row r="34" spans="1:9" x14ac:dyDescent="0.25">
      <c r="A34" s="2" t="s">
        <v>25</v>
      </c>
      <c r="B34" s="3">
        <v>43225</v>
      </c>
      <c r="C34" s="3">
        <v>43560</v>
      </c>
      <c r="D34" s="2">
        <v>10</v>
      </c>
      <c r="E34" s="4" t="s">
        <v>35</v>
      </c>
      <c r="F34" s="2" t="s">
        <v>11</v>
      </c>
      <c r="G34" s="2">
        <f t="shared" si="7"/>
        <v>0</v>
      </c>
      <c r="H34" s="2">
        <f t="shared" si="8"/>
        <v>10</v>
      </c>
      <c r="I34" s="2" t="str">
        <f t="shared" si="9"/>
        <v>Tulsa</v>
      </c>
    </row>
    <row r="35" spans="1:9" x14ac:dyDescent="0.25">
      <c r="A35" s="2" t="s">
        <v>13</v>
      </c>
      <c r="B35" s="3">
        <v>43225</v>
      </c>
      <c r="C35" s="3">
        <v>43590</v>
      </c>
      <c r="D35" s="2">
        <v>10</v>
      </c>
      <c r="E35" s="4" t="s">
        <v>35</v>
      </c>
      <c r="F35" s="2" t="s">
        <v>11</v>
      </c>
      <c r="G35" s="2">
        <f t="shared" si="7"/>
        <v>0</v>
      </c>
      <c r="H35" s="2">
        <f t="shared" si="8"/>
        <v>10</v>
      </c>
      <c r="I35" s="2" t="str">
        <f t="shared" si="9"/>
        <v>Tulsa</v>
      </c>
    </row>
    <row r="36" spans="1:9" x14ac:dyDescent="0.25">
      <c r="A36" s="2" t="s">
        <v>33</v>
      </c>
      <c r="B36" s="3">
        <v>43225</v>
      </c>
      <c r="C36" s="3"/>
      <c r="D36" s="2">
        <v>10</v>
      </c>
      <c r="E36" s="4" t="s">
        <v>35</v>
      </c>
      <c r="F36" s="2" t="s">
        <v>11</v>
      </c>
      <c r="G36" s="2">
        <f t="shared" si="7"/>
        <v>0</v>
      </c>
      <c r="H36" s="2">
        <f t="shared" si="8"/>
        <v>10</v>
      </c>
      <c r="I36" s="2" t="str">
        <f t="shared" si="9"/>
        <v>Tulsa</v>
      </c>
    </row>
    <row r="37" spans="1:9" x14ac:dyDescent="0.25">
      <c r="A37" s="2" t="s">
        <v>26</v>
      </c>
      <c r="B37" s="3">
        <v>43225</v>
      </c>
      <c r="C37" s="3"/>
      <c r="D37" s="2">
        <v>5</v>
      </c>
      <c r="E37" s="4" t="s">
        <v>36</v>
      </c>
      <c r="F37" s="2" t="s">
        <v>11</v>
      </c>
      <c r="G37" s="2">
        <f t="shared" ref="G37:G43" si="10">SUMIFS(Quantity,Received_6409,E37,Pulled_Lot,F37,Pulled_Item,A37)</f>
        <v>0</v>
      </c>
      <c r="H37" s="2">
        <f t="shared" ref="H37:H43" si="11">D37-G37</f>
        <v>5</v>
      </c>
      <c r="I37" s="2" t="str">
        <f t="shared" ref="I37:I43" si="12">Warehouse</f>
        <v>Tulsa</v>
      </c>
    </row>
    <row r="38" spans="1:9" x14ac:dyDescent="0.25">
      <c r="A38" s="2" t="s">
        <v>21</v>
      </c>
      <c r="B38" s="3">
        <v>43225</v>
      </c>
      <c r="C38" s="3"/>
      <c r="D38" s="2">
        <v>5</v>
      </c>
      <c r="E38" s="4" t="s">
        <v>36</v>
      </c>
      <c r="F38" s="2" t="s">
        <v>11</v>
      </c>
      <c r="G38" s="2">
        <f t="shared" si="10"/>
        <v>0</v>
      </c>
      <c r="H38" s="2">
        <f t="shared" si="11"/>
        <v>5</v>
      </c>
      <c r="I38" s="2" t="str">
        <f t="shared" si="12"/>
        <v>Tulsa</v>
      </c>
    </row>
    <row r="39" spans="1:9" x14ac:dyDescent="0.25">
      <c r="A39" s="2" t="s">
        <v>18</v>
      </c>
      <c r="B39" s="3">
        <v>43225</v>
      </c>
      <c r="C39" s="3"/>
      <c r="D39" s="2">
        <v>5</v>
      </c>
      <c r="E39" s="4" t="s">
        <v>36</v>
      </c>
      <c r="F39" s="2" t="s">
        <v>11</v>
      </c>
      <c r="G39" s="2">
        <f t="shared" si="10"/>
        <v>0</v>
      </c>
      <c r="H39" s="2">
        <f t="shared" si="11"/>
        <v>5</v>
      </c>
      <c r="I39" s="2" t="str">
        <f t="shared" si="12"/>
        <v>Tulsa</v>
      </c>
    </row>
    <row r="40" spans="1:9" x14ac:dyDescent="0.25">
      <c r="A40" s="2" t="s">
        <v>25</v>
      </c>
      <c r="B40" s="3">
        <v>43225</v>
      </c>
      <c r="C40" s="3">
        <v>43560</v>
      </c>
      <c r="D40" s="2">
        <v>10</v>
      </c>
      <c r="E40" s="4" t="s">
        <v>36</v>
      </c>
      <c r="F40" s="2" t="s">
        <v>11</v>
      </c>
      <c r="G40" s="2">
        <f t="shared" si="10"/>
        <v>0</v>
      </c>
      <c r="H40" s="2">
        <f t="shared" si="11"/>
        <v>10</v>
      </c>
      <c r="I40" s="2" t="str">
        <f t="shared" si="12"/>
        <v>Tulsa</v>
      </c>
    </row>
    <row r="41" spans="1:9" x14ac:dyDescent="0.25">
      <c r="A41" s="2" t="s">
        <v>13</v>
      </c>
      <c r="B41" s="3">
        <v>43225</v>
      </c>
      <c r="C41" s="3">
        <v>43590</v>
      </c>
      <c r="D41" s="2">
        <v>10</v>
      </c>
      <c r="E41" s="4" t="s">
        <v>36</v>
      </c>
      <c r="F41" s="2" t="s">
        <v>11</v>
      </c>
      <c r="G41" s="2">
        <f t="shared" si="10"/>
        <v>0</v>
      </c>
      <c r="H41" s="2">
        <f t="shared" si="11"/>
        <v>10</v>
      </c>
      <c r="I41" s="2" t="str">
        <f t="shared" si="12"/>
        <v>Tulsa</v>
      </c>
    </row>
    <row r="42" spans="1:9" x14ac:dyDescent="0.25">
      <c r="A42" s="2" t="s">
        <v>33</v>
      </c>
      <c r="B42" s="3">
        <v>43225</v>
      </c>
      <c r="C42" s="3"/>
      <c r="D42" s="2">
        <v>10</v>
      </c>
      <c r="E42" s="4" t="s">
        <v>36</v>
      </c>
      <c r="F42" s="2" t="s">
        <v>11</v>
      </c>
      <c r="G42" s="2">
        <f t="shared" si="10"/>
        <v>0</v>
      </c>
      <c r="H42" s="2">
        <f t="shared" si="11"/>
        <v>10</v>
      </c>
      <c r="I42" s="2" t="str">
        <f t="shared" si="12"/>
        <v>Tulsa</v>
      </c>
    </row>
    <row r="43" spans="1:9" x14ac:dyDescent="0.25">
      <c r="A43" s="2" t="s">
        <v>15</v>
      </c>
      <c r="B43" s="3">
        <v>43225</v>
      </c>
      <c r="C43" s="3"/>
      <c r="D43" s="2">
        <v>10</v>
      </c>
      <c r="E43" s="4" t="s">
        <v>36</v>
      </c>
      <c r="F43" s="2" t="s">
        <v>11</v>
      </c>
      <c r="G43" s="2">
        <f t="shared" si="10"/>
        <v>0</v>
      </c>
      <c r="H43" s="2">
        <f t="shared" si="11"/>
        <v>10</v>
      </c>
      <c r="I43" s="2" t="str">
        <f t="shared" si="12"/>
        <v>Tulsa</v>
      </c>
    </row>
  </sheetData>
  <dataConsolidate/>
  <dataValidations count="1">
    <dataValidation type="list" allowBlank="1" showInputMessage="1" showErrorMessage="1" sqref="F11:F1048576">
      <formula1>#REF!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"/>
  <sheetViews>
    <sheetView tabSelected="1" workbookViewId="0">
      <selection activeCell="A17" sqref="A17:G17"/>
    </sheetView>
  </sheetViews>
  <sheetFormatPr defaultRowHeight="15" x14ac:dyDescent="0.25"/>
  <cols>
    <col min="1" max="1" width="25" style="19" bestFit="1" customWidth="1"/>
    <col min="2" max="2" width="14.85546875" style="19" customWidth="1"/>
    <col min="3" max="3" width="6" style="19" bestFit="1" customWidth="1"/>
    <col min="4" max="4" width="14.140625" style="20" customWidth="1"/>
    <col min="5" max="5" width="9.7109375" style="19" bestFit="1" customWidth="1"/>
    <col min="6" max="6" width="11" style="19" bestFit="1" customWidth="1"/>
    <col min="7" max="7" width="12.28515625" style="19" bestFit="1" customWidth="1"/>
    <col min="8" max="16384" width="9.140625" style="19"/>
  </cols>
  <sheetData>
    <row r="1" spans="1:7" x14ac:dyDescent="0.25">
      <c r="A1" s="17" t="s">
        <v>0</v>
      </c>
      <c r="B1" s="17" t="s">
        <v>4</v>
      </c>
      <c r="C1" s="17" t="s">
        <v>5</v>
      </c>
      <c r="D1" s="17" t="s">
        <v>37</v>
      </c>
      <c r="E1" s="18" t="s">
        <v>38</v>
      </c>
      <c r="F1" s="18" t="s">
        <v>39</v>
      </c>
      <c r="G1" s="18" t="s">
        <v>8</v>
      </c>
    </row>
    <row r="2" spans="1:7" x14ac:dyDescent="0.25">
      <c r="A2" s="20" t="s">
        <v>13</v>
      </c>
      <c r="B2" s="20" t="s">
        <v>14</v>
      </c>
      <c r="C2" s="20" t="s">
        <v>11</v>
      </c>
      <c r="D2" s="20" t="s">
        <v>40</v>
      </c>
      <c r="E2" s="21">
        <v>43311</v>
      </c>
      <c r="F2" s="19">
        <v>3</v>
      </c>
      <c r="G2" s="19" t="str">
        <f t="shared" ref="G2:G13" si="0">Warehouse</f>
        <v>Tulsa</v>
      </c>
    </row>
    <row r="3" spans="1:7" x14ac:dyDescent="0.25">
      <c r="A3" s="20" t="s">
        <v>9</v>
      </c>
      <c r="B3" s="20" t="s">
        <v>10</v>
      </c>
      <c r="C3" s="20" t="s">
        <v>11</v>
      </c>
      <c r="D3" s="20" t="s">
        <v>40</v>
      </c>
      <c r="E3" s="21">
        <v>43311</v>
      </c>
      <c r="F3" s="19">
        <v>5</v>
      </c>
      <c r="G3" s="19" t="str">
        <f t="shared" si="0"/>
        <v>Tulsa</v>
      </c>
    </row>
    <row r="4" spans="1:7" x14ac:dyDescent="0.25">
      <c r="A4" s="20" t="s">
        <v>13</v>
      </c>
      <c r="B4" s="20" t="s">
        <v>14</v>
      </c>
      <c r="C4" s="20" t="s">
        <v>11</v>
      </c>
      <c r="D4" s="20" t="s">
        <v>41</v>
      </c>
      <c r="E4" s="21">
        <v>43311</v>
      </c>
      <c r="F4" s="19">
        <v>5</v>
      </c>
      <c r="G4" s="19" t="str">
        <f t="shared" si="0"/>
        <v>Tulsa</v>
      </c>
    </row>
    <row r="5" spans="1:7" x14ac:dyDescent="0.25">
      <c r="A5" s="20" t="s">
        <v>21</v>
      </c>
      <c r="B5" s="20" t="s">
        <v>22</v>
      </c>
      <c r="C5" s="20" t="s">
        <v>23</v>
      </c>
      <c r="D5" s="20" t="s">
        <v>41</v>
      </c>
      <c r="E5" s="21">
        <v>43311</v>
      </c>
      <c r="F5" s="19">
        <v>5</v>
      </c>
      <c r="G5" s="19" t="str">
        <f t="shared" si="0"/>
        <v>Tulsa</v>
      </c>
    </row>
    <row r="6" spans="1:7" x14ac:dyDescent="0.25">
      <c r="A6" s="20" t="s">
        <v>9</v>
      </c>
      <c r="B6" s="20" t="s">
        <v>10</v>
      </c>
      <c r="C6" s="20" t="s">
        <v>11</v>
      </c>
      <c r="D6" s="20" t="s">
        <v>42</v>
      </c>
      <c r="E6" s="21">
        <v>43311</v>
      </c>
      <c r="F6" s="19">
        <v>5</v>
      </c>
      <c r="G6" s="19" t="str">
        <f t="shared" si="0"/>
        <v>Tulsa</v>
      </c>
    </row>
    <row r="7" spans="1:7" x14ac:dyDescent="0.25">
      <c r="A7" s="20" t="s">
        <v>9</v>
      </c>
      <c r="B7" s="20" t="s">
        <v>10</v>
      </c>
      <c r="C7" s="20" t="s">
        <v>11</v>
      </c>
      <c r="D7" s="20" t="s">
        <v>43</v>
      </c>
      <c r="E7" s="21">
        <v>43311</v>
      </c>
      <c r="F7" s="19">
        <v>5</v>
      </c>
      <c r="G7" s="19" t="str">
        <f t="shared" si="0"/>
        <v>Tulsa</v>
      </c>
    </row>
    <row r="8" spans="1:7" x14ac:dyDescent="0.25">
      <c r="A8" s="20" t="s">
        <v>13</v>
      </c>
      <c r="B8" s="20" t="s">
        <v>14</v>
      </c>
      <c r="C8" s="20" t="s">
        <v>11</v>
      </c>
      <c r="D8" s="20" t="s">
        <v>44</v>
      </c>
      <c r="E8" s="21">
        <v>43311</v>
      </c>
      <c r="F8" s="19">
        <v>5</v>
      </c>
      <c r="G8" s="19" t="str">
        <f t="shared" si="0"/>
        <v>Tulsa</v>
      </c>
    </row>
    <row r="9" spans="1:7" x14ac:dyDescent="0.25">
      <c r="A9" s="20" t="s">
        <v>25</v>
      </c>
      <c r="B9" s="20" t="s">
        <v>24</v>
      </c>
      <c r="C9" s="20" t="s">
        <v>11</v>
      </c>
      <c r="D9" s="20" t="s">
        <v>44</v>
      </c>
      <c r="E9" s="21">
        <v>43311</v>
      </c>
      <c r="F9" s="19">
        <v>2</v>
      </c>
      <c r="G9" s="19" t="str">
        <f t="shared" si="0"/>
        <v>Tulsa</v>
      </c>
    </row>
    <row r="10" spans="1:7" x14ac:dyDescent="0.25">
      <c r="A10" s="20" t="s">
        <v>13</v>
      </c>
      <c r="B10" s="20" t="s">
        <v>22</v>
      </c>
      <c r="C10" s="20" t="s">
        <v>20</v>
      </c>
      <c r="D10" s="20" t="s">
        <v>45</v>
      </c>
      <c r="E10" s="21">
        <v>43311</v>
      </c>
      <c r="F10" s="19">
        <v>2</v>
      </c>
      <c r="G10" s="19" t="str">
        <f t="shared" si="0"/>
        <v>Tulsa</v>
      </c>
    </row>
    <row r="11" spans="1:7" x14ac:dyDescent="0.25">
      <c r="A11" s="20" t="s">
        <v>13</v>
      </c>
      <c r="B11" s="20" t="s">
        <v>22</v>
      </c>
      <c r="C11" s="20" t="s">
        <v>20</v>
      </c>
      <c r="D11" s="20" t="s">
        <v>46</v>
      </c>
      <c r="E11" s="21">
        <v>43311</v>
      </c>
      <c r="F11" s="19">
        <v>2</v>
      </c>
      <c r="G11" s="19" t="str">
        <f t="shared" si="0"/>
        <v>Tulsa</v>
      </c>
    </row>
    <row r="12" spans="1:7" x14ac:dyDescent="0.25">
      <c r="A12" s="20" t="s">
        <v>13</v>
      </c>
      <c r="B12" s="20" t="s">
        <v>14</v>
      </c>
      <c r="C12" s="20" t="s">
        <v>11</v>
      </c>
      <c r="D12" s="20" t="s">
        <v>47</v>
      </c>
      <c r="E12" s="21">
        <v>43312</v>
      </c>
      <c r="F12" s="19">
        <v>3</v>
      </c>
      <c r="G12" s="19" t="str">
        <f t="shared" si="0"/>
        <v>Tulsa</v>
      </c>
    </row>
    <row r="13" spans="1:7" x14ac:dyDescent="0.25">
      <c r="A13" s="20" t="s">
        <v>25</v>
      </c>
      <c r="B13" s="20" t="s">
        <v>24</v>
      </c>
      <c r="C13" s="20" t="s">
        <v>11</v>
      </c>
      <c r="D13" s="20" t="s">
        <v>47</v>
      </c>
      <c r="E13" s="21">
        <v>43312</v>
      </c>
      <c r="F13" s="19">
        <v>2</v>
      </c>
      <c r="G13" s="19" t="str">
        <f t="shared" si="0"/>
        <v>Tulsa</v>
      </c>
    </row>
    <row r="14" spans="1:7" x14ac:dyDescent="0.25">
      <c r="A14" s="20" t="s">
        <v>9</v>
      </c>
      <c r="B14" s="20" t="s">
        <v>10</v>
      </c>
      <c r="C14" s="20" t="s">
        <v>11</v>
      </c>
      <c r="D14" s="20" t="s">
        <v>48</v>
      </c>
      <c r="E14" s="21">
        <v>43312</v>
      </c>
      <c r="F14" s="19">
        <v>4</v>
      </c>
      <c r="G14" s="19" t="str">
        <f t="shared" ref="G14:G20" si="1">Warehouse</f>
        <v>Tulsa</v>
      </c>
    </row>
    <row r="15" spans="1:7" x14ac:dyDescent="0.25">
      <c r="A15" s="20" t="s">
        <v>26</v>
      </c>
      <c r="B15" s="20" t="s">
        <v>28</v>
      </c>
      <c r="C15" s="20" t="s">
        <v>11</v>
      </c>
      <c r="D15" s="20" t="s">
        <v>48</v>
      </c>
      <c r="E15" s="21">
        <v>43312</v>
      </c>
      <c r="F15" s="19">
        <v>5</v>
      </c>
      <c r="G15" s="19" t="str">
        <f t="shared" si="1"/>
        <v>Tulsa</v>
      </c>
    </row>
    <row r="16" spans="1:7" x14ac:dyDescent="0.25">
      <c r="A16" s="20" t="s">
        <v>13</v>
      </c>
      <c r="B16" s="20" t="s">
        <v>22</v>
      </c>
      <c r="C16" s="20" t="s">
        <v>20</v>
      </c>
      <c r="D16" s="20" t="s">
        <v>48</v>
      </c>
      <c r="E16" s="21">
        <v>43312</v>
      </c>
      <c r="F16" s="19">
        <v>2</v>
      </c>
      <c r="G16" s="19" t="str">
        <f t="shared" si="1"/>
        <v>Tulsa</v>
      </c>
    </row>
    <row r="17" spans="1:7" x14ac:dyDescent="0.25">
      <c r="A17" s="20" t="s">
        <v>13</v>
      </c>
      <c r="B17" s="20" t="s">
        <v>14</v>
      </c>
      <c r="C17" s="20" t="s">
        <v>11</v>
      </c>
      <c r="D17" s="20" t="s">
        <v>49</v>
      </c>
      <c r="E17" s="21">
        <v>43313</v>
      </c>
      <c r="F17" s="19">
        <v>3</v>
      </c>
      <c r="G17" s="19" t="str">
        <f t="shared" si="1"/>
        <v>Tulsa</v>
      </c>
    </row>
    <row r="18" spans="1:7" x14ac:dyDescent="0.25">
      <c r="A18" s="20" t="s">
        <v>26</v>
      </c>
      <c r="B18" s="20" t="s">
        <v>31</v>
      </c>
      <c r="C18" s="20" t="s">
        <v>20</v>
      </c>
      <c r="D18" s="20" t="s">
        <v>49</v>
      </c>
      <c r="E18" s="21">
        <v>43313</v>
      </c>
      <c r="F18" s="19">
        <v>5</v>
      </c>
      <c r="G18" s="19" t="str">
        <f t="shared" si="1"/>
        <v>Tulsa</v>
      </c>
    </row>
    <row r="19" spans="1:7" x14ac:dyDescent="0.25">
      <c r="A19" s="20" t="s">
        <v>13</v>
      </c>
      <c r="B19" s="20" t="s">
        <v>22</v>
      </c>
      <c r="C19" s="20" t="s">
        <v>20</v>
      </c>
      <c r="D19" s="20" t="s">
        <v>50</v>
      </c>
      <c r="E19" s="21">
        <v>43314</v>
      </c>
      <c r="F19" s="19">
        <v>2</v>
      </c>
      <c r="G19" s="19" t="str">
        <f t="shared" si="1"/>
        <v>Tulsa</v>
      </c>
    </row>
    <row r="20" spans="1:7" x14ac:dyDescent="0.25">
      <c r="A20" s="20" t="s">
        <v>25</v>
      </c>
      <c r="B20" s="20" t="s">
        <v>28</v>
      </c>
      <c r="C20" s="20" t="s">
        <v>11</v>
      </c>
      <c r="D20" s="20" t="s">
        <v>50</v>
      </c>
      <c r="E20" s="21">
        <v>43314</v>
      </c>
      <c r="F20" s="19">
        <v>5</v>
      </c>
      <c r="G20" s="19" t="str">
        <f t="shared" si="1"/>
        <v>Tulsa</v>
      </c>
    </row>
    <row r="21" spans="1:7" x14ac:dyDescent="0.25">
      <c r="A21" s="20" t="s">
        <v>13</v>
      </c>
      <c r="B21" s="20" t="s">
        <v>22</v>
      </c>
      <c r="C21" s="20" t="s">
        <v>20</v>
      </c>
      <c r="D21" s="20" t="s">
        <v>51</v>
      </c>
      <c r="E21" s="21">
        <v>43314</v>
      </c>
      <c r="F21" s="19">
        <v>5</v>
      </c>
      <c r="G21" s="19" t="str">
        <f>Warehouse</f>
        <v>Tulsa</v>
      </c>
    </row>
    <row r="22" spans="1:7" x14ac:dyDescent="0.25">
      <c r="A22" s="20" t="s">
        <v>13</v>
      </c>
      <c r="B22" s="20" t="s">
        <v>24</v>
      </c>
      <c r="C22" s="20" t="s">
        <v>11</v>
      </c>
      <c r="D22" s="20" t="s">
        <v>51</v>
      </c>
      <c r="E22" s="21">
        <v>43314</v>
      </c>
      <c r="F22" s="19">
        <v>5</v>
      </c>
      <c r="G22" s="19" t="str">
        <f>Warehouse</f>
        <v>Tulsa</v>
      </c>
    </row>
    <row r="23" spans="1:7" x14ac:dyDescent="0.25">
      <c r="A23" s="20" t="s">
        <v>9</v>
      </c>
      <c r="B23" s="20" t="s">
        <v>10</v>
      </c>
      <c r="C23" s="20" t="s">
        <v>11</v>
      </c>
      <c r="D23" s="20" t="s">
        <v>51</v>
      </c>
      <c r="E23" s="21">
        <v>43314</v>
      </c>
      <c r="F23" s="19">
        <v>3</v>
      </c>
      <c r="G23" s="19" t="str">
        <f>Warehouse</f>
        <v>Tulsa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"/>
  <sheetViews>
    <sheetView workbookViewId="0">
      <selection activeCell="F3" sqref="F3"/>
    </sheetView>
  </sheetViews>
  <sheetFormatPr defaultColWidth="9.140625" defaultRowHeight="15" x14ac:dyDescent="0.25"/>
  <cols>
    <col min="1" max="1" width="18.140625" style="5" bestFit="1" customWidth="1"/>
    <col min="2" max="2" width="14.85546875" style="6" customWidth="1"/>
    <col min="3" max="3" width="9.7109375" style="5" bestFit="1" customWidth="1"/>
    <col min="4" max="4" width="10.85546875" style="5" customWidth="1"/>
    <col min="5" max="5" width="29.28515625" style="5" bestFit="1" customWidth="1"/>
    <col min="6" max="6" width="15" style="5" bestFit="1" customWidth="1"/>
    <col min="7" max="9" width="9.140625" style="5"/>
    <col min="10" max="10" width="11" style="5" bestFit="1" customWidth="1"/>
    <col min="11" max="16384" width="9.140625" style="5"/>
  </cols>
  <sheetData>
    <row r="1" spans="1:6" x14ac:dyDescent="0.25">
      <c r="A1" s="2" t="s">
        <v>52</v>
      </c>
      <c r="B1" s="1" t="s">
        <v>37</v>
      </c>
      <c r="C1" s="2" t="s">
        <v>38</v>
      </c>
      <c r="D1" s="2" t="s">
        <v>39</v>
      </c>
      <c r="E1" s="2" t="s">
        <v>53</v>
      </c>
      <c r="F1" s="2" t="s">
        <v>8</v>
      </c>
    </row>
    <row r="2" spans="1:6" x14ac:dyDescent="0.25">
      <c r="A2" s="2" t="s">
        <v>13</v>
      </c>
      <c r="B2" s="4" t="s">
        <v>40</v>
      </c>
      <c r="C2" s="3">
        <v>43311</v>
      </c>
      <c r="D2" s="2">
        <v>3</v>
      </c>
      <c r="E2" s="2" t="s">
        <v>54</v>
      </c>
      <c r="F2" s="2" t="str">
        <f t="shared" ref="F2:F13" si="0">Warehouse</f>
        <v>Tulsa</v>
      </c>
    </row>
    <row r="3" spans="1:6" x14ac:dyDescent="0.25">
      <c r="A3" s="2" t="s">
        <v>9</v>
      </c>
      <c r="B3" s="4" t="s">
        <v>40</v>
      </c>
      <c r="C3" s="3">
        <v>43311</v>
      </c>
      <c r="D3" s="2">
        <v>5</v>
      </c>
      <c r="E3" s="2" t="s">
        <v>54</v>
      </c>
      <c r="F3" s="2" t="str">
        <f t="shared" si="0"/>
        <v>Tulsa</v>
      </c>
    </row>
    <row r="4" spans="1:6" x14ac:dyDescent="0.25">
      <c r="A4" s="2" t="s">
        <v>13</v>
      </c>
      <c r="B4" s="4" t="s">
        <v>41</v>
      </c>
      <c r="C4" s="3">
        <v>43311</v>
      </c>
      <c r="D4" s="2">
        <v>5</v>
      </c>
      <c r="E4" s="2" t="s">
        <v>54</v>
      </c>
      <c r="F4" s="2" t="str">
        <f t="shared" si="0"/>
        <v>Tulsa</v>
      </c>
    </row>
    <row r="5" spans="1:6" x14ac:dyDescent="0.25">
      <c r="A5" s="2" t="s">
        <v>21</v>
      </c>
      <c r="B5" s="4" t="s">
        <v>41</v>
      </c>
      <c r="C5" s="3">
        <v>43311</v>
      </c>
      <c r="D5" s="2">
        <v>5</v>
      </c>
      <c r="E5" s="2" t="s">
        <v>54</v>
      </c>
      <c r="F5" s="2" t="str">
        <f t="shared" si="0"/>
        <v>Tulsa</v>
      </c>
    </row>
    <row r="6" spans="1:6" x14ac:dyDescent="0.25">
      <c r="A6" s="2" t="s">
        <v>9</v>
      </c>
      <c r="B6" s="4" t="s">
        <v>42</v>
      </c>
      <c r="C6" s="3">
        <v>43311</v>
      </c>
      <c r="D6" s="2">
        <v>5</v>
      </c>
      <c r="E6" s="2" t="s">
        <v>54</v>
      </c>
      <c r="F6" s="2" t="str">
        <f t="shared" si="0"/>
        <v>Tulsa</v>
      </c>
    </row>
    <row r="7" spans="1:6" x14ac:dyDescent="0.25">
      <c r="A7" s="2" t="s">
        <v>9</v>
      </c>
      <c r="B7" s="4" t="s">
        <v>43</v>
      </c>
      <c r="C7" s="3">
        <v>43311</v>
      </c>
      <c r="D7" s="2">
        <v>5</v>
      </c>
      <c r="E7" s="2" t="s">
        <v>54</v>
      </c>
      <c r="F7" s="2" t="str">
        <f t="shared" si="0"/>
        <v>Tulsa</v>
      </c>
    </row>
    <row r="8" spans="1:6" x14ac:dyDescent="0.25">
      <c r="A8" s="2" t="s">
        <v>13</v>
      </c>
      <c r="B8" s="4" t="s">
        <v>44</v>
      </c>
      <c r="C8" s="3">
        <v>43311</v>
      </c>
      <c r="D8" s="2">
        <v>5</v>
      </c>
      <c r="E8" s="2" t="s">
        <v>54</v>
      </c>
      <c r="F8" s="2" t="str">
        <f t="shared" si="0"/>
        <v>Tulsa</v>
      </c>
    </row>
    <row r="9" spans="1:6" x14ac:dyDescent="0.25">
      <c r="A9" s="2" t="s">
        <v>25</v>
      </c>
      <c r="B9" s="4" t="s">
        <v>44</v>
      </c>
      <c r="C9" s="3">
        <v>43311</v>
      </c>
      <c r="D9" s="2">
        <v>2</v>
      </c>
      <c r="E9" s="2" t="s">
        <v>54</v>
      </c>
      <c r="F9" s="2" t="str">
        <f t="shared" si="0"/>
        <v>Tulsa</v>
      </c>
    </row>
    <row r="10" spans="1:6" x14ac:dyDescent="0.25">
      <c r="A10" s="2" t="s">
        <v>13</v>
      </c>
      <c r="B10" s="4" t="s">
        <v>45</v>
      </c>
      <c r="C10" s="3">
        <v>43311</v>
      </c>
      <c r="D10" s="2">
        <v>2</v>
      </c>
      <c r="E10" s="2" t="s">
        <v>54</v>
      </c>
      <c r="F10" s="2" t="str">
        <f t="shared" si="0"/>
        <v>Tulsa</v>
      </c>
    </row>
    <row r="11" spans="1:6" x14ac:dyDescent="0.25">
      <c r="A11" s="2" t="s">
        <v>13</v>
      </c>
      <c r="B11" s="4" t="s">
        <v>46</v>
      </c>
      <c r="C11" s="3">
        <v>43311</v>
      </c>
      <c r="D11" s="2">
        <v>2</v>
      </c>
      <c r="E11" s="2" t="s">
        <v>54</v>
      </c>
      <c r="F11" s="2" t="str">
        <f t="shared" si="0"/>
        <v>Tulsa</v>
      </c>
    </row>
    <row r="12" spans="1:6" x14ac:dyDescent="0.25">
      <c r="A12" s="2" t="s">
        <v>13</v>
      </c>
      <c r="B12" s="4" t="s">
        <v>47</v>
      </c>
      <c r="C12" s="3">
        <v>43312</v>
      </c>
      <c r="D12" s="2">
        <v>3</v>
      </c>
      <c r="E12" s="2" t="s">
        <v>54</v>
      </c>
      <c r="F12" s="2" t="str">
        <f t="shared" si="0"/>
        <v>Tulsa</v>
      </c>
    </row>
    <row r="13" spans="1:6" x14ac:dyDescent="0.25">
      <c r="A13" s="2" t="s">
        <v>25</v>
      </c>
      <c r="B13" s="4" t="s">
        <v>47</v>
      </c>
      <c r="C13" s="3">
        <v>43312</v>
      </c>
      <c r="D13" s="2">
        <v>2</v>
      </c>
      <c r="E13" s="2" t="s">
        <v>54</v>
      </c>
      <c r="F13" s="2" t="str">
        <f t="shared" si="0"/>
        <v>Tulsa</v>
      </c>
    </row>
    <row r="14" spans="1:6" x14ac:dyDescent="0.25">
      <c r="A14" s="2" t="s">
        <v>9</v>
      </c>
      <c r="B14" s="4" t="s">
        <v>48</v>
      </c>
      <c r="C14" s="3">
        <v>43312</v>
      </c>
      <c r="D14" s="2">
        <v>4</v>
      </c>
      <c r="E14" s="2" t="s">
        <v>55</v>
      </c>
      <c r="F14" s="2" t="str">
        <f t="shared" ref="F14:F20" si="1">Warehouse</f>
        <v>Tulsa</v>
      </c>
    </row>
    <row r="15" spans="1:6" x14ac:dyDescent="0.25">
      <c r="A15" s="2" t="s">
        <v>26</v>
      </c>
      <c r="B15" s="4" t="s">
        <v>48</v>
      </c>
      <c r="C15" s="3">
        <v>43312</v>
      </c>
      <c r="D15" s="2">
        <v>5</v>
      </c>
      <c r="E15" s="2" t="s">
        <v>55</v>
      </c>
      <c r="F15" s="2" t="str">
        <f t="shared" si="1"/>
        <v>Tulsa</v>
      </c>
    </row>
    <row r="16" spans="1:6" x14ac:dyDescent="0.25">
      <c r="A16" s="2" t="s">
        <v>13</v>
      </c>
      <c r="B16" s="4" t="s">
        <v>48</v>
      </c>
      <c r="C16" s="3">
        <v>43312</v>
      </c>
      <c r="D16" s="2">
        <v>2</v>
      </c>
      <c r="E16" s="2" t="s">
        <v>55</v>
      </c>
      <c r="F16" s="2" t="str">
        <f t="shared" si="1"/>
        <v>Tulsa</v>
      </c>
    </row>
    <row r="17" spans="1:6" x14ac:dyDescent="0.25">
      <c r="A17" s="2" t="s">
        <v>13</v>
      </c>
      <c r="B17" s="4" t="s">
        <v>49</v>
      </c>
      <c r="C17" s="3">
        <v>43313</v>
      </c>
      <c r="D17" s="2">
        <v>3</v>
      </c>
      <c r="E17" s="2" t="s">
        <v>56</v>
      </c>
      <c r="F17" s="2" t="str">
        <f t="shared" si="1"/>
        <v>Tulsa</v>
      </c>
    </row>
    <row r="18" spans="1:6" x14ac:dyDescent="0.25">
      <c r="A18" s="2" t="s">
        <v>26</v>
      </c>
      <c r="B18" s="4" t="s">
        <v>49</v>
      </c>
      <c r="C18" s="3">
        <v>43313</v>
      </c>
      <c r="D18" s="2">
        <v>5</v>
      </c>
      <c r="E18" s="2" t="s">
        <v>56</v>
      </c>
      <c r="F18" s="2" t="str">
        <f t="shared" si="1"/>
        <v>Tulsa</v>
      </c>
    </row>
    <row r="19" spans="1:6" x14ac:dyDescent="0.25">
      <c r="A19" s="2" t="s">
        <v>13</v>
      </c>
      <c r="B19" s="4" t="s">
        <v>50</v>
      </c>
      <c r="C19" s="3">
        <v>43314</v>
      </c>
      <c r="D19" s="2">
        <v>2</v>
      </c>
      <c r="E19" s="2" t="s">
        <v>57</v>
      </c>
      <c r="F19" s="2" t="str">
        <f t="shared" si="1"/>
        <v>Tulsa</v>
      </c>
    </row>
    <row r="20" spans="1:6" x14ac:dyDescent="0.25">
      <c r="A20" s="2" t="s">
        <v>25</v>
      </c>
      <c r="B20" s="4" t="s">
        <v>50</v>
      </c>
      <c r="C20" s="3">
        <v>43314</v>
      </c>
      <c r="D20" s="2">
        <v>5</v>
      </c>
      <c r="E20" s="2" t="s">
        <v>57</v>
      </c>
      <c r="F20" s="2" t="str">
        <f t="shared" si="1"/>
        <v>Tulsa</v>
      </c>
    </row>
    <row r="21" spans="1:6" x14ac:dyDescent="0.25">
      <c r="A21" s="2" t="s">
        <v>13</v>
      </c>
      <c r="B21" s="4" t="s">
        <v>51</v>
      </c>
      <c r="C21" s="3">
        <v>43314</v>
      </c>
      <c r="D21" s="2">
        <v>10</v>
      </c>
      <c r="E21" s="2" t="s">
        <v>58</v>
      </c>
      <c r="F21" s="2" t="str">
        <f>Warehouse</f>
        <v>Tulsa</v>
      </c>
    </row>
    <row r="22" spans="1:6" x14ac:dyDescent="0.25">
      <c r="A22" s="2" t="s">
        <v>9</v>
      </c>
      <c r="B22" s="4" t="s">
        <v>51</v>
      </c>
      <c r="C22" s="3">
        <v>43314</v>
      </c>
      <c r="D22" s="2">
        <v>3</v>
      </c>
      <c r="E22" s="2" t="s">
        <v>58</v>
      </c>
      <c r="F22" s="2" t="str">
        <f>Warehouse</f>
        <v>Tulsa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96"/>
  <sheetViews>
    <sheetView workbookViewId="0">
      <selection activeCell="B4" sqref="B4"/>
    </sheetView>
  </sheetViews>
  <sheetFormatPr defaultRowHeight="15" x14ac:dyDescent="0.25"/>
  <cols>
    <col min="1" max="1" width="58" style="16" bestFit="1" customWidth="1"/>
    <col min="2" max="16384" width="9.140625" style="16"/>
  </cols>
  <sheetData>
    <row r="1" spans="1:1" x14ac:dyDescent="0.25">
      <c r="A1" s="2" t="s">
        <v>52</v>
      </c>
    </row>
    <row r="2" spans="1:1" x14ac:dyDescent="0.25">
      <c r="A2" s="2" t="s">
        <v>59</v>
      </c>
    </row>
    <row r="3" spans="1:1" x14ac:dyDescent="0.25">
      <c r="A3" s="2" t="s">
        <v>9</v>
      </c>
    </row>
    <row r="4" spans="1:1" x14ac:dyDescent="0.25">
      <c r="A4" s="2" t="s">
        <v>60</v>
      </c>
    </row>
    <row r="5" spans="1:1" x14ac:dyDescent="0.25">
      <c r="A5" s="2" t="s">
        <v>21</v>
      </c>
    </row>
    <row r="6" spans="1:1" x14ac:dyDescent="0.25">
      <c r="A6" s="2" t="s">
        <v>26</v>
      </c>
    </row>
    <row r="7" spans="1:1" x14ac:dyDescent="0.25">
      <c r="A7" s="2" t="s">
        <v>61</v>
      </c>
    </row>
    <row r="8" spans="1:1" x14ac:dyDescent="0.25">
      <c r="A8" s="2" t="s">
        <v>62</v>
      </c>
    </row>
    <row r="9" spans="1:1" x14ac:dyDescent="0.25">
      <c r="A9" s="2" t="s">
        <v>13</v>
      </c>
    </row>
    <row r="10" spans="1:1" x14ac:dyDescent="0.25">
      <c r="A10" s="2" t="s">
        <v>25</v>
      </c>
    </row>
    <row r="11" spans="1:1" x14ac:dyDescent="0.25">
      <c r="A11" s="2" t="s">
        <v>63</v>
      </c>
    </row>
    <row r="12" spans="1:1" x14ac:dyDescent="0.25">
      <c r="A12" s="2" t="s">
        <v>64</v>
      </c>
    </row>
    <row r="13" spans="1:1" x14ac:dyDescent="0.25">
      <c r="A13" s="2" t="s">
        <v>65</v>
      </c>
    </row>
    <row r="14" spans="1:1" x14ac:dyDescent="0.25">
      <c r="A14" s="2" t="s">
        <v>33</v>
      </c>
    </row>
    <row r="15" spans="1:1" x14ac:dyDescent="0.25">
      <c r="A15" s="2" t="s">
        <v>66</v>
      </c>
    </row>
    <row r="16" spans="1:1" x14ac:dyDescent="0.25">
      <c r="A16" s="2" t="s">
        <v>15</v>
      </c>
    </row>
    <row r="17" spans="1:1" x14ac:dyDescent="0.25">
      <c r="A17" s="2" t="s">
        <v>67</v>
      </c>
    </row>
    <row r="18" spans="1:1" x14ac:dyDescent="0.25">
      <c r="A18" s="2" t="s">
        <v>68</v>
      </c>
    </row>
    <row r="19" spans="1:1" x14ac:dyDescent="0.25">
      <c r="A19" s="2" t="s">
        <v>69</v>
      </c>
    </row>
    <row r="20" spans="1:1" x14ac:dyDescent="0.25">
      <c r="A20" s="2" t="s">
        <v>70</v>
      </c>
    </row>
    <row r="21" spans="1:1" x14ac:dyDescent="0.25">
      <c r="A21" s="2" t="s">
        <v>18</v>
      </c>
    </row>
    <row r="22" spans="1:1" x14ac:dyDescent="0.25">
      <c r="A22" s="2" t="s">
        <v>71</v>
      </c>
    </row>
    <row r="23" spans="1:1" x14ac:dyDescent="0.25">
      <c r="A23" s="2" t="s">
        <v>72</v>
      </c>
    </row>
    <row r="24" spans="1:1" x14ac:dyDescent="0.25">
      <c r="A24" s="2" t="s">
        <v>73</v>
      </c>
    </row>
    <row r="25" spans="1:1" x14ac:dyDescent="0.25">
      <c r="A25" s="2" t="s">
        <v>74</v>
      </c>
    </row>
    <row r="26" spans="1:1" x14ac:dyDescent="0.25">
      <c r="A26" s="2" t="s">
        <v>75</v>
      </c>
    </row>
    <row r="27" spans="1:1" x14ac:dyDescent="0.25">
      <c r="A27" s="2" t="s">
        <v>76</v>
      </c>
    </row>
    <row r="28" spans="1:1" x14ac:dyDescent="0.25">
      <c r="A28" s="2" t="s">
        <v>77</v>
      </c>
    </row>
    <row r="29" spans="1:1" x14ac:dyDescent="0.25">
      <c r="A29" s="2" t="s">
        <v>78</v>
      </c>
    </row>
    <row r="30" spans="1:1" x14ac:dyDescent="0.25">
      <c r="A30" s="2" t="s">
        <v>79</v>
      </c>
    </row>
    <row r="31" spans="1:1" x14ac:dyDescent="0.25">
      <c r="A31" s="2" t="s">
        <v>80</v>
      </c>
    </row>
    <row r="32" spans="1:1" x14ac:dyDescent="0.25">
      <c r="A32" s="2" t="s">
        <v>81</v>
      </c>
    </row>
    <row r="33" spans="1:1" x14ac:dyDescent="0.25">
      <c r="A33" s="2" t="s">
        <v>82</v>
      </c>
    </row>
    <row r="34" spans="1:1" x14ac:dyDescent="0.25">
      <c r="A34" s="2" t="s">
        <v>83</v>
      </c>
    </row>
    <row r="35" spans="1:1" x14ac:dyDescent="0.25">
      <c r="A35" s="2" t="s">
        <v>84</v>
      </c>
    </row>
    <row r="36" spans="1:1" x14ac:dyDescent="0.25">
      <c r="A36" s="2" t="s">
        <v>85</v>
      </c>
    </row>
    <row r="37" spans="1:1" x14ac:dyDescent="0.25">
      <c r="A37" s="2" t="s">
        <v>86</v>
      </c>
    </row>
    <row r="38" spans="1:1" x14ac:dyDescent="0.25">
      <c r="A38" s="2" t="s">
        <v>87</v>
      </c>
    </row>
    <row r="39" spans="1:1" x14ac:dyDescent="0.25">
      <c r="A39" s="2" t="s">
        <v>88</v>
      </c>
    </row>
    <row r="40" spans="1:1" x14ac:dyDescent="0.25">
      <c r="A40" s="2" t="s">
        <v>89</v>
      </c>
    </row>
    <row r="41" spans="1:1" x14ac:dyDescent="0.25">
      <c r="A41" s="2" t="s">
        <v>90</v>
      </c>
    </row>
    <row r="42" spans="1:1" x14ac:dyDescent="0.25">
      <c r="A42" s="2" t="s">
        <v>91</v>
      </c>
    </row>
    <row r="43" spans="1:1" x14ac:dyDescent="0.25">
      <c r="A43" s="2" t="s">
        <v>92</v>
      </c>
    </row>
    <row r="44" spans="1:1" x14ac:dyDescent="0.25">
      <c r="A44" s="2" t="s">
        <v>93</v>
      </c>
    </row>
    <row r="45" spans="1:1" x14ac:dyDescent="0.25">
      <c r="A45" s="2" t="s">
        <v>94</v>
      </c>
    </row>
    <row r="46" spans="1:1" x14ac:dyDescent="0.25">
      <c r="A46" s="2" t="s">
        <v>95</v>
      </c>
    </row>
    <row r="47" spans="1:1" x14ac:dyDescent="0.25">
      <c r="A47" s="2" t="s">
        <v>96</v>
      </c>
    </row>
    <row r="48" spans="1:1" x14ac:dyDescent="0.25">
      <c r="A48" s="2" t="s">
        <v>97</v>
      </c>
    </row>
    <row r="49" spans="1:1" x14ac:dyDescent="0.25">
      <c r="A49" s="2" t="s">
        <v>98</v>
      </c>
    </row>
    <row r="50" spans="1:1" x14ac:dyDescent="0.25">
      <c r="A50" s="2" t="s">
        <v>99</v>
      </c>
    </row>
    <row r="51" spans="1:1" x14ac:dyDescent="0.25">
      <c r="A51" s="2" t="s">
        <v>100</v>
      </c>
    </row>
    <row r="52" spans="1:1" x14ac:dyDescent="0.25">
      <c r="A52" s="2" t="s">
        <v>101</v>
      </c>
    </row>
    <row r="53" spans="1:1" x14ac:dyDescent="0.25">
      <c r="A53" s="2" t="s">
        <v>102</v>
      </c>
    </row>
    <row r="54" spans="1:1" x14ac:dyDescent="0.25">
      <c r="A54" s="2" t="s">
        <v>103</v>
      </c>
    </row>
    <row r="55" spans="1:1" x14ac:dyDescent="0.25">
      <c r="A55" s="2" t="s">
        <v>104</v>
      </c>
    </row>
    <row r="56" spans="1:1" x14ac:dyDescent="0.25">
      <c r="A56" s="2" t="s">
        <v>105</v>
      </c>
    </row>
    <row r="57" spans="1:1" x14ac:dyDescent="0.25">
      <c r="A57" s="2" t="s">
        <v>106</v>
      </c>
    </row>
    <row r="58" spans="1:1" x14ac:dyDescent="0.25">
      <c r="A58" s="2" t="s">
        <v>107</v>
      </c>
    </row>
    <row r="59" spans="1:1" x14ac:dyDescent="0.25">
      <c r="A59" s="2" t="s">
        <v>108</v>
      </c>
    </row>
    <row r="60" spans="1:1" x14ac:dyDescent="0.25">
      <c r="A60" s="2" t="s">
        <v>109</v>
      </c>
    </row>
    <row r="61" spans="1:1" x14ac:dyDescent="0.25">
      <c r="A61" s="2" t="s">
        <v>110</v>
      </c>
    </row>
    <row r="62" spans="1:1" x14ac:dyDescent="0.25">
      <c r="A62" s="2" t="s">
        <v>111</v>
      </c>
    </row>
    <row r="63" spans="1:1" x14ac:dyDescent="0.25">
      <c r="A63" s="2" t="s">
        <v>112</v>
      </c>
    </row>
    <row r="64" spans="1:1" x14ac:dyDescent="0.25">
      <c r="A64" s="2" t="s">
        <v>113</v>
      </c>
    </row>
    <row r="65" spans="1:1" x14ac:dyDescent="0.25">
      <c r="A65" s="2" t="s">
        <v>114</v>
      </c>
    </row>
    <row r="66" spans="1:1" x14ac:dyDescent="0.25">
      <c r="A66" s="2" t="s">
        <v>115</v>
      </c>
    </row>
    <row r="67" spans="1:1" x14ac:dyDescent="0.25">
      <c r="A67" s="2" t="s">
        <v>116</v>
      </c>
    </row>
    <row r="68" spans="1:1" x14ac:dyDescent="0.25">
      <c r="A68" s="2" t="s">
        <v>117</v>
      </c>
    </row>
    <row r="69" spans="1:1" x14ac:dyDescent="0.25">
      <c r="A69" s="2" t="s">
        <v>118</v>
      </c>
    </row>
    <row r="70" spans="1:1" x14ac:dyDescent="0.25">
      <c r="A70" s="2" t="s">
        <v>119</v>
      </c>
    </row>
    <row r="71" spans="1:1" x14ac:dyDescent="0.25">
      <c r="A71" s="2" t="s">
        <v>120</v>
      </c>
    </row>
    <row r="72" spans="1:1" x14ac:dyDescent="0.25">
      <c r="A72" s="2" t="s">
        <v>121</v>
      </c>
    </row>
    <row r="73" spans="1:1" x14ac:dyDescent="0.25">
      <c r="A73" s="2" t="s">
        <v>122</v>
      </c>
    </row>
    <row r="74" spans="1:1" x14ac:dyDescent="0.25">
      <c r="A74" s="2" t="s">
        <v>123</v>
      </c>
    </row>
    <row r="75" spans="1:1" x14ac:dyDescent="0.25">
      <c r="A75" s="2" t="s">
        <v>124</v>
      </c>
    </row>
    <row r="76" spans="1:1" x14ac:dyDescent="0.25">
      <c r="A76" s="2" t="s">
        <v>125</v>
      </c>
    </row>
    <row r="77" spans="1:1" x14ac:dyDescent="0.25">
      <c r="A77" s="2" t="s">
        <v>126</v>
      </c>
    </row>
    <row r="78" spans="1:1" x14ac:dyDescent="0.25">
      <c r="A78" s="2" t="s">
        <v>127</v>
      </c>
    </row>
    <row r="79" spans="1:1" x14ac:dyDescent="0.25">
      <c r="A79" s="2" t="s">
        <v>128</v>
      </c>
    </row>
    <row r="80" spans="1:1" x14ac:dyDescent="0.25">
      <c r="A80" s="2" t="s">
        <v>129</v>
      </c>
    </row>
    <row r="81" spans="1:1" x14ac:dyDescent="0.25">
      <c r="A81" s="2" t="s">
        <v>130</v>
      </c>
    </row>
    <row r="82" spans="1:1" x14ac:dyDescent="0.25">
      <c r="A82" s="2" t="s">
        <v>131</v>
      </c>
    </row>
    <row r="83" spans="1:1" x14ac:dyDescent="0.25">
      <c r="A83" s="2" t="s">
        <v>132</v>
      </c>
    </row>
    <row r="84" spans="1:1" x14ac:dyDescent="0.25">
      <c r="A84" s="2" t="s">
        <v>133</v>
      </c>
    </row>
    <row r="85" spans="1:1" x14ac:dyDescent="0.25">
      <c r="A85" s="2" t="s">
        <v>134</v>
      </c>
    </row>
    <row r="86" spans="1:1" x14ac:dyDescent="0.25">
      <c r="A86" s="2" t="s">
        <v>135</v>
      </c>
    </row>
    <row r="87" spans="1:1" x14ac:dyDescent="0.25">
      <c r="A87" s="2" t="s">
        <v>136</v>
      </c>
    </row>
    <row r="88" spans="1:1" x14ac:dyDescent="0.25">
      <c r="A88" s="2" t="s">
        <v>137</v>
      </c>
    </row>
    <row r="89" spans="1:1" x14ac:dyDescent="0.25">
      <c r="A89" s="2" t="s">
        <v>138</v>
      </c>
    </row>
    <row r="90" spans="1:1" x14ac:dyDescent="0.25">
      <c r="A90" s="2" t="s">
        <v>139</v>
      </c>
    </row>
    <row r="91" spans="1:1" x14ac:dyDescent="0.25">
      <c r="A91" s="2" t="s">
        <v>140</v>
      </c>
    </row>
    <row r="92" spans="1:1" x14ac:dyDescent="0.25">
      <c r="A92" s="2" t="s">
        <v>141</v>
      </c>
    </row>
    <row r="93" spans="1:1" x14ac:dyDescent="0.25">
      <c r="A93" s="2" t="s">
        <v>142</v>
      </c>
    </row>
    <row r="94" spans="1:1" x14ac:dyDescent="0.25">
      <c r="A94" s="2" t="s">
        <v>143</v>
      </c>
    </row>
    <row r="95" spans="1:1" x14ac:dyDescent="0.25">
      <c r="A95" s="2" t="s">
        <v>144</v>
      </c>
    </row>
    <row r="96" spans="1:1" x14ac:dyDescent="0.25">
      <c r="A96" s="2" t="s">
        <v>145</v>
      </c>
    </row>
    <row r="97" spans="1:1" x14ac:dyDescent="0.25">
      <c r="A97" s="2" t="s">
        <v>146</v>
      </c>
    </row>
    <row r="98" spans="1:1" x14ac:dyDescent="0.25">
      <c r="A98" s="2" t="s">
        <v>147</v>
      </c>
    </row>
    <row r="99" spans="1:1" x14ac:dyDescent="0.25">
      <c r="A99" s="2" t="s">
        <v>148</v>
      </c>
    </row>
    <row r="100" spans="1:1" x14ac:dyDescent="0.25">
      <c r="A100" s="2" t="s">
        <v>149</v>
      </c>
    </row>
    <row r="101" spans="1:1" x14ac:dyDescent="0.25">
      <c r="A101" s="2" t="s">
        <v>150</v>
      </c>
    </row>
    <row r="102" spans="1:1" x14ac:dyDescent="0.25">
      <c r="A102" s="2" t="s">
        <v>151</v>
      </c>
    </row>
    <row r="103" spans="1:1" x14ac:dyDescent="0.25">
      <c r="A103" s="2" t="s">
        <v>152</v>
      </c>
    </row>
    <row r="104" spans="1:1" x14ac:dyDescent="0.25">
      <c r="A104" s="2" t="s">
        <v>153</v>
      </c>
    </row>
    <row r="105" spans="1:1" x14ac:dyDescent="0.25">
      <c r="A105" s="2" t="s">
        <v>154</v>
      </c>
    </row>
    <row r="106" spans="1:1" x14ac:dyDescent="0.25">
      <c r="A106" s="2" t="s">
        <v>155</v>
      </c>
    </row>
    <row r="107" spans="1:1" x14ac:dyDescent="0.25">
      <c r="A107" s="2" t="s">
        <v>156</v>
      </c>
    </row>
    <row r="108" spans="1:1" x14ac:dyDescent="0.25">
      <c r="A108" s="2" t="s">
        <v>157</v>
      </c>
    </row>
    <row r="109" spans="1:1" x14ac:dyDescent="0.25">
      <c r="A109" s="2" t="s">
        <v>158</v>
      </c>
    </row>
    <row r="110" spans="1:1" x14ac:dyDescent="0.25">
      <c r="A110" s="2" t="s">
        <v>159</v>
      </c>
    </row>
    <row r="111" spans="1:1" x14ac:dyDescent="0.25">
      <c r="A111" s="2" t="s">
        <v>160</v>
      </c>
    </row>
    <row r="112" spans="1:1" x14ac:dyDescent="0.25">
      <c r="A112" s="2" t="s">
        <v>161</v>
      </c>
    </row>
    <row r="113" spans="1:1" x14ac:dyDescent="0.25">
      <c r="A113" s="2" t="s">
        <v>162</v>
      </c>
    </row>
    <row r="114" spans="1:1" x14ac:dyDescent="0.25">
      <c r="A114" s="2" t="s">
        <v>163</v>
      </c>
    </row>
    <row r="115" spans="1:1" x14ac:dyDescent="0.25">
      <c r="A115" s="2" t="s">
        <v>164</v>
      </c>
    </row>
    <row r="116" spans="1:1" x14ac:dyDescent="0.25">
      <c r="A116" s="2" t="s">
        <v>165</v>
      </c>
    </row>
    <row r="117" spans="1:1" x14ac:dyDescent="0.25">
      <c r="A117" s="2" t="s">
        <v>166</v>
      </c>
    </row>
    <row r="118" spans="1:1" x14ac:dyDescent="0.25">
      <c r="A118" s="2" t="s">
        <v>167</v>
      </c>
    </row>
    <row r="119" spans="1:1" x14ac:dyDescent="0.25">
      <c r="A119" s="2" t="s">
        <v>168</v>
      </c>
    </row>
    <row r="120" spans="1:1" x14ac:dyDescent="0.25">
      <c r="A120" s="2" t="s">
        <v>169</v>
      </c>
    </row>
    <row r="121" spans="1:1" x14ac:dyDescent="0.25">
      <c r="A121" s="2" t="s">
        <v>170</v>
      </c>
    </row>
    <row r="122" spans="1:1" x14ac:dyDescent="0.25">
      <c r="A122" s="2" t="s">
        <v>171</v>
      </c>
    </row>
    <row r="123" spans="1:1" x14ac:dyDescent="0.25">
      <c r="A123" s="2" t="s">
        <v>172</v>
      </c>
    </row>
    <row r="124" spans="1:1" x14ac:dyDescent="0.25">
      <c r="A124" s="2" t="s">
        <v>173</v>
      </c>
    </row>
    <row r="125" spans="1:1" x14ac:dyDescent="0.25">
      <c r="A125" s="2" t="s">
        <v>174</v>
      </c>
    </row>
    <row r="126" spans="1:1" x14ac:dyDescent="0.25">
      <c r="A126" s="2" t="s">
        <v>175</v>
      </c>
    </row>
    <row r="127" spans="1:1" x14ac:dyDescent="0.25">
      <c r="A127" s="2" t="s">
        <v>176</v>
      </c>
    </row>
    <row r="128" spans="1:1" x14ac:dyDescent="0.25">
      <c r="A128" s="2" t="s">
        <v>177</v>
      </c>
    </row>
    <row r="129" spans="1:1" x14ac:dyDescent="0.25">
      <c r="A129" s="2" t="s">
        <v>178</v>
      </c>
    </row>
    <row r="130" spans="1:1" x14ac:dyDescent="0.25">
      <c r="A130" s="2" t="s">
        <v>179</v>
      </c>
    </row>
    <row r="131" spans="1:1" x14ac:dyDescent="0.25">
      <c r="A131" s="2" t="s">
        <v>180</v>
      </c>
    </row>
    <row r="132" spans="1:1" x14ac:dyDescent="0.25">
      <c r="A132" s="2" t="s">
        <v>181</v>
      </c>
    </row>
    <row r="133" spans="1:1" x14ac:dyDescent="0.25">
      <c r="A133" s="2" t="s">
        <v>182</v>
      </c>
    </row>
    <row r="134" spans="1:1" x14ac:dyDescent="0.25">
      <c r="A134" s="2" t="s">
        <v>183</v>
      </c>
    </row>
    <row r="135" spans="1:1" x14ac:dyDescent="0.25">
      <c r="A135" s="2" t="s">
        <v>184</v>
      </c>
    </row>
    <row r="136" spans="1:1" x14ac:dyDescent="0.25">
      <c r="A136" s="2" t="s">
        <v>185</v>
      </c>
    </row>
    <row r="137" spans="1:1" x14ac:dyDescent="0.25">
      <c r="A137" s="2" t="s">
        <v>186</v>
      </c>
    </row>
    <row r="138" spans="1:1" x14ac:dyDescent="0.25">
      <c r="A138" s="2" t="s">
        <v>187</v>
      </c>
    </row>
    <row r="139" spans="1:1" x14ac:dyDescent="0.25">
      <c r="A139" s="2" t="s">
        <v>188</v>
      </c>
    </row>
    <row r="140" spans="1:1" x14ac:dyDescent="0.25">
      <c r="A140" s="2" t="s">
        <v>189</v>
      </c>
    </row>
    <row r="141" spans="1:1" x14ac:dyDescent="0.25">
      <c r="A141" s="2" t="s">
        <v>190</v>
      </c>
    </row>
    <row r="142" spans="1:1" x14ac:dyDescent="0.25">
      <c r="A142" s="2" t="s">
        <v>191</v>
      </c>
    </row>
    <row r="143" spans="1:1" x14ac:dyDescent="0.25">
      <c r="A143" s="2" t="s">
        <v>192</v>
      </c>
    </row>
    <row r="144" spans="1:1" x14ac:dyDescent="0.25">
      <c r="A144" s="2" t="s">
        <v>193</v>
      </c>
    </row>
    <row r="145" spans="1:1" x14ac:dyDescent="0.25">
      <c r="A145" s="2" t="s">
        <v>194</v>
      </c>
    </row>
    <row r="146" spans="1:1" x14ac:dyDescent="0.25">
      <c r="A146" s="2" t="s">
        <v>195</v>
      </c>
    </row>
    <row r="147" spans="1:1" x14ac:dyDescent="0.25">
      <c r="A147" s="2" t="s">
        <v>196</v>
      </c>
    </row>
    <row r="148" spans="1:1" x14ac:dyDescent="0.25">
      <c r="A148" s="2" t="s">
        <v>197</v>
      </c>
    </row>
    <row r="149" spans="1:1" x14ac:dyDescent="0.25">
      <c r="A149" s="2" t="s">
        <v>198</v>
      </c>
    </row>
    <row r="150" spans="1:1" x14ac:dyDescent="0.25">
      <c r="A150" s="2" t="s">
        <v>199</v>
      </c>
    </row>
    <row r="151" spans="1:1" x14ac:dyDescent="0.25">
      <c r="A151" s="2" t="s">
        <v>200</v>
      </c>
    </row>
    <row r="152" spans="1:1" x14ac:dyDescent="0.25">
      <c r="A152" s="2" t="s">
        <v>201</v>
      </c>
    </row>
    <row r="153" spans="1:1" x14ac:dyDescent="0.25">
      <c r="A153" s="2" t="s">
        <v>202</v>
      </c>
    </row>
    <row r="154" spans="1:1" x14ac:dyDescent="0.25">
      <c r="A154" s="2" t="s">
        <v>203</v>
      </c>
    </row>
    <row r="155" spans="1:1" x14ac:dyDescent="0.25">
      <c r="A155" s="2" t="s">
        <v>204</v>
      </c>
    </row>
    <row r="156" spans="1:1" x14ac:dyDescent="0.25">
      <c r="A156" s="2" t="s">
        <v>205</v>
      </c>
    </row>
    <row r="157" spans="1:1" x14ac:dyDescent="0.25">
      <c r="A157" s="2" t="s">
        <v>206</v>
      </c>
    </row>
    <row r="158" spans="1:1" x14ac:dyDescent="0.25">
      <c r="A158" s="2" t="s">
        <v>207</v>
      </c>
    </row>
    <row r="159" spans="1:1" x14ac:dyDescent="0.25">
      <c r="A159" s="2" t="s">
        <v>208</v>
      </c>
    </row>
    <row r="160" spans="1:1" x14ac:dyDescent="0.25">
      <c r="A160" s="2" t="s">
        <v>209</v>
      </c>
    </row>
    <row r="161" spans="1:1" x14ac:dyDescent="0.25">
      <c r="A161" s="2" t="s">
        <v>210</v>
      </c>
    </row>
    <row r="162" spans="1:1" x14ac:dyDescent="0.25">
      <c r="A162" s="2" t="s">
        <v>211</v>
      </c>
    </row>
    <row r="163" spans="1:1" x14ac:dyDescent="0.25">
      <c r="A163" s="2" t="s">
        <v>212</v>
      </c>
    </row>
    <row r="164" spans="1:1" x14ac:dyDescent="0.25">
      <c r="A164" s="2" t="s">
        <v>213</v>
      </c>
    </row>
    <row r="165" spans="1:1" x14ac:dyDescent="0.25">
      <c r="A165" s="2" t="s">
        <v>214</v>
      </c>
    </row>
    <row r="166" spans="1:1" x14ac:dyDescent="0.25">
      <c r="A166" s="2" t="s">
        <v>215</v>
      </c>
    </row>
    <row r="167" spans="1:1" x14ac:dyDescent="0.25">
      <c r="A167" s="2" t="s">
        <v>216</v>
      </c>
    </row>
    <row r="168" spans="1:1" x14ac:dyDescent="0.25">
      <c r="A168" s="2" t="s">
        <v>217</v>
      </c>
    </row>
    <row r="169" spans="1:1" x14ac:dyDescent="0.25">
      <c r="A169" s="2" t="s">
        <v>218</v>
      </c>
    </row>
    <row r="170" spans="1:1" x14ac:dyDescent="0.25">
      <c r="A170" s="2" t="s">
        <v>219</v>
      </c>
    </row>
    <row r="171" spans="1:1" x14ac:dyDescent="0.25">
      <c r="A171" s="2" t="s">
        <v>220</v>
      </c>
    </row>
    <row r="172" spans="1:1" x14ac:dyDescent="0.25">
      <c r="A172" s="2" t="s">
        <v>221</v>
      </c>
    </row>
    <row r="173" spans="1:1" x14ac:dyDescent="0.25">
      <c r="A173" s="2" t="s">
        <v>222</v>
      </c>
    </row>
    <row r="174" spans="1:1" x14ac:dyDescent="0.25">
      <c r="A174" s="2" t="s">
        <v>223</v>
      </c>
    </row>
    <row r="175" spans="1:1" x14ac:dyDescent="0.25">
      <c r="A175" s="2" t="s">
        <v>224</v>
      </c>
    </row>
    <row r="176" spans="1:1" x14ac:dyDescent="0.25">
      <c r="A176" s="2" t="s">
        <v>225</v>
      </c>
    </row>
    <row r="177" spans="1:1" x14ac:dyDescent="0.25">
      <c r="A177" s="2" t="s">
        <v>226</v>
      </c>
    </row>
    <row r="178" spans="1:1" x14ac:dyDescent="0.25">
      <c r="A178" s="2" t="s">
        <v>227</v>
      </c>
    </row>
    <row r="179" spans="1:1" x14ac:dyDescent="0.25">
      <c r="A179" s="2" t="s">
        <v>228</v>
      </c>
    </row>
    <row r="180" spans="1:1" x14ac:dyDescent="0.25">
      <c r="A180" s="2" t="s">
        <v>229</v>
      </c>
    </row>
    <row r="181" spans="1:1" x14ac:dyDescent="0.25">
      <c r="A181" s="2" t="s">
        <v>230</v>
      </c>
    </row>
    <row r="182" spans="1:1" x14ac:dyDescent="0.25">
      <c r="A182" s="2" t="s">
        <v>231</v>
      </c>
    </row>
    <row r="183" spans="1:1" x14ac:dyDescent="0.25">
      <c r="A183" s="2" t="s">
        <v>232</v>
      </c>
    </row>
    <row r="184" spans="1:1" x14ac:dyDescent="0.25">
      <c r="A184" s="2" t="s">
        <v>233</v>
      </c>
    </row>
    <row r="185" spans="1:1" x14ac:dyDescent="0.25">
      <c r="A185" s="2" t="s">
        <v>234</v>
      </c>
    </row>
    <row r="186" spans="1:1" x14ac:dyDescent="0.25">
      <c r="A186" s="2" t="s">
        <v>235</v>
      </c>
    </row>
    <row r="187" spans="1:1" x14ac:dyDescent="0.25">
      <c r="A187" s="2" t="s">
        <v>236</v>
      </c>
    </row>
    <row r="188" spans="1:1" x14ac:dyDescent="0.25">
      <c r="A188" s="2" t="s">
        <v>237</v>
      </c>
    </row>
    <row r="189" spans="1:1" x14ac:dyDescent="0.25">
      <c r="A189" s="2" t="s">
        <v>238</v>
      </c>
    </row>
    <row r="190" spans="1:1" x14ac:dyDescent="0.25">
      <c r="A190" s="2" t="s">
        <v>239</v>
      </c>
    </row>
    <row r="191" spans="1:1" x14ac:dyDescent="0.25">
      <c r="A191" s="2" t="s">
        <v>240</v>
      </c>
    </row>
    <row r="192" spans="1:1" x14ac:dyDescent="0.25">
      <c r="A192" s="2" t="s">
        <v>241</v>
      </c>
    </row>
    <row r="193" spans="1:1" x14ac:dyDescent="0.25">
      <c r="A193" t="s">
        <v>242</v>
      </c>
    </row>
    <row r="194" spans="1:1" x14ac:dyDescent="0.25">
      <c r="A194" t="s">
        <v>243</v>
      </c>
    </row>
    <row r="195" spans="1:1" x14ac:dyDescent="0.25">
      <c r="A195" t="s">
        <v>244</v>
      </c>
    </row>
    <row r="196" spans="1:1" x14ac:dyDescent="0.25">
      <c r="A196" t="s">
        <v>245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5"/>
  <sheetViews>
    <sheetView workbookViewId="0">
      <selection sqref="A1:A35"/>
    </sheetView>
  </sheetViews>
  <sheetFormatPr defaultRowHeight="15" x14ac:dyDescent="0.25"/>
  <cols>
    <col min="1" max="1" width="41.5703125" bestFit="1" customWidth="1"/>
  </cols>
  <sheetData>
    <row r="1" spans="1:1" x14ac:dyDescent="0.25">
      <c r="A1" t="s">
        <v>246</v>
      </c>
    </row>
    <row r="2" spans="1:1" x14ac:dyDescent="0.25">
      <c r="A2" t="s">
        <v>247</v>
      </c>
    </row>
    <row r="3" spans="1:1" x14ac:dyDescent="0.25">
      <c r="A3" t="s">
        <v>248</v>
      </c>
    </row>
    <row r="4" spans="1:1" x14ac:dyDescent="0.25">
      <c r="A4" t="s">
        <v>249</v>
      </c>
    </row>
    <row r="5" spans="1:1" x14ac:dyDescent="0.25">
      <c r="A5" t="s">
        <v>250</v>
      </c>
    </row>
    <row r="6" spans="1:1" x14ac:dyDescent="0.25">
      <c r="A6" t="s">
        <v>251</v>
      </c>
    </row>
    <row r="7" spans="1:1" x14ac:dyDescent="0.25">
      <c r="A7" t="s">
        <v>252</v>
      </c>
    </row>
    <row r="8" spans="1:1" x14ac:dyDescent="0.25">
      <c r="A8" t="s">
        <v>253</v>
      </c>
    </row>
    <row r="9" spans="1:1" x14ac:dyDescent="0.25">
      <c r="A9" t="s">
        <v>54</v>
      </c>
    </row>
    <row r="10" spans="1:1" x14ac:dyDescent="0.25">
      <c r="A10" t="s">
        <v>55</v>
      </c>
    </row>
    <row r="11" spans="1:1" x14ac:dyDescent="0.25">
      <c r="A11" t="s">
        <v>254</v>
      </c>
    </row>
    <row r="12" spans="1:1" x14ac:dyDescent="0.25">
      <c r="A12" t="s">
        <v>255</v>
      </c>
    </row>
    <row r="13" spans="1:1" x14ac:dyDescent="0.25">
      <c r="A13" t="s">
        <v>57</v>
      </c>
    </row>
    <row r="14" spans="1:1" x14ac:dyDescent="0.25">
      <c r="A14" t="s">
        <v>256</v>
      </c>
    </row>
    <row r="15" spans="1:1" x14ac:dyDescent="0.25">
      <c r="A15" t="s">
        <v>257</v>
      </c>
    </row>
    <row r="16" spans="1:1" x14ac:dyDescent="0.25">
      <c r="A16" t="s">
        <v>56</v>
      </c>
    </row>
    <row r="17" spans="1:1" x14ac:dyDescent="0.25">
      <c r="A17" t="s">
        <v>258</v>
      </c>
    </row>
    <row r="18" spans="1:1" x14ac:dyDescent="0.25">
      <c r="A18" t="s">
        <v>259</v>
      </c>
    </row>
    <row r="19" spans="1:1" x14ac:dyDescent="0.25">
      <c r="A19" t="s">
        <v>260</v>
      </c>
    </row>
    <row r="20" spans="1:1" x14ac:dyDescent="0.25">
      <c r="A20" t="s">
        <v>261</v>
      </c>
    </row>
    <row r="21" spans="1:1" x14ac:dyDescent="0.25">
      <c r="A21" t="s">
        <v>262</v>
      </c>
    </row>
    <row r="22" spans="1:1" x14ac:dyDescent="0.25">
      <c r="A22" t="s">
        <v>263</v>
      </c>
    </row>
    <row r="23" spans="1:1" x14ac:dyDescent="0.25">
      <c r="A23" t="s">
        <v>264</v>
      </c>
    </row>
    <row r="24" spans="1:1" x14ac:dyDescent="0.25">
      <c r="A24" t="s">
        <v>265</v>
      </c>
    </row>
    <row r="25" spans="1:1" x14ac:dyDescent="0.25">
      <c r="A25" t="s">
        <v>266</v>
      </c>
    </row>
    <row r="26" spans="1:1" x14ac:dyDescent="0.25">
      <c r="A26" t="s">
        <v>267</v>
      </c>
    </row>
    <row r="27" spans="1:1" x14ac:dyDescent="0.25">
      <c r="A27" t="s">
        <v>268</v>
      </c>
    </row>
    <row r="28" spans="1:1" x14ac:dyDescent="0.25">
      <c r="A28" t="s">
        <v>269</v>
      </c>
    </row>
    <row r="29" spans="1:1" x14ac:dyDescent="0.25">
      <c r="A29" t="s">
        <v>270</v>
      </c>
    </row>
    <row r="30" spans="1:1" x14ac:dyDescent="0.25">
      <c r="A30" t="s">
        <v>271</v>
      </c>
    </row>
    <row r="31" spans="1:1" x14ac:dyDescent="0.25">
      <c r="A31" t="s">
        <v>272</v>
      </c>
    </row>
    <row r="32" spans="1:1" x14ac:dyDescent="0.25">
      <c r="A32" t="s">
        <v>262</v>
      </c>
    </row>
    <row r="33" spans="1:1" x14ac:dyDescent="0.25">
      <c r="A33" t="s">
        <v>58</v>
      </c>
    </row>
    <row r="34" spans="1:1" x14ac:dyDescent="0.25">
      <c r="A34" t="s">
        <v>273</v>
      </c>
    </row>
    <row r="35" spans="1:1" x14ac:dyDescent="0.25">
      <c r="A35" t="s">
        <v>274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7"/>
  <sheetViews>
    <sheetView workbookViewId="0">
      <selection sqref="A1:A27"/>
    </sheetView>
  </sheetViews>
  <sheetFormatPr defaultRowHeight="15" x14ac:dyDescent="0.25"/>
  <cols>
    <col min="1" max="1" width="5.85546875" style="7" bestFit="1" customWidth="1"/>
    <col min="2" max="16384" width="9.140625" style="7"/>
  </cols>
  <sheetData>
    <row r="1" spans="1:1" x14ac:dyDescent="0.25">
      <c r="A1" s="2" t="s">
        <v>5</v>
      </c>
    </row>
    <row r="2" spans="1:1" x14ac:dyDescent="0.25">
      <c r="A2" s="2" t="s">
        <v>11</v>
      </c>
    </row>
    <row r="3" spans="1:1" x14ac:dyDescent="0.25">
      <c r="A3" s="2" t="s">
        <v>275</v>
      </c>
    </row>
    <row r="4" spans="1:1" x14ac:dyDescent="0.25">
      <c r="A4" s="2" t="s">
        <v>17</v>
      </c>
    </row>
    <row r="5" spans="1:1" x14ac:dyDescent="0.25">
      <c r="A5" s="2" t="s">
        <v>20</v>
      </c>
    </row>
    <row r="6" spans="1:1" x14ac:dyDescent="0.25">
      <c r="A6" s="2" t="s">
        <v>23</v>
      </c>
    </row>
    <row r="7" spans="1:1" x14ac:dyDescent="0.25">
      <c r="A7" s="2" t="s">
        <v>30</v>
      </c>
    </row>
    <row r="8" spans="1:1" x14ac:dyDescent="0.25">
      <c r="A8" s="2" t="s">
        <v>276</v>
      </c>
    </row>
    <row r="9" spans="1:1" x14ac:dyDescent="0.25">
      <c r="A9" s="2" t="s">
        <v>277</v>
      </c>
    </row>
    <row r="10" spans="1:1" x14ac:dyDescent="0.25">
      <c r="A10" s="2" t="s">
        <v>278</v>
      </c>
    </row>
    <row r="11" spans="1:1" x14ac:dyDescent="0.25">
      <c r="A11" s="2" t="s">
        <v>279</v>
      </c>
    </row>
    <row r="12" spans="1:1" x14ac:dyDescent="0.25">
      <c r="A12" s="2" t="s">
        <v>280</v>
      </c>
    </row>
    <row r="13" spans="1:1" x14ac:dyDescent="0.25">
      <c r="A13" s="2" t="s">
        <v>281</v>
      </c>
    </row>
    <row r="14" spans="1:1" x14ac:dyDescent="0.25">
      <c r="A14" s="2" t="s">
        <v>282</v>
      </c>
    </row>
    <row r="15" spans="1:1" x14ac:dyDescent="0.25">
      <c r="A15" s="2" t="s">
        <v>283</v>
      </c>
    </row>
    <row r="16" spans="1:1" x14ac:dyDescent="0.25">
      <c r="A16" s="2" t="s">
        <v>284</v>
      </c>
    </row>
    <row r="17" spans="1:1" x14ac:dyDescent="0.25">
      <c r="A17" s="2" t="s">
        <v>285</v>
      </c>
    </row>
    <row r="18" spans="1:1" x14ac:dyDescent="0.25">
      <c r="A18" s="2" t="s">
        <v>286</v>
      </c>
    </row>
    <row r="19" spans="1:1" x14ac:dyDescent="0.25">
      <c r="A19" s="2" t="s">
        <v>287</v>
      </c>
    </row>
    <row r="20" spans="1:1" x14ac:dyDescent="0.25">
      <c r="A20" s="2" t="s">
        <v>288</v>
      </c>
    </row>
    <row r="21" spans="1:1" x14ac:dyDescent="0.25">
      <c r="A21" s="2" t="s">
        <v>289</v>
      </c>
    </row>
    <row r="22" spans="1:1" x14ac:dyDescent="0.25">
      <c r="A22" s="2" t="s">
        <v>290</v>
      </c>
    </row>
    <row r="23" spans="1:1" x14ac:dyDescent="0.25">
      <c r="A23" s="2" t="s">
        <v>291</v>
      </c>
    </row>
    <row r="24" spans="1:1" x14ac:dyDescent="0.25">
      <c r="A24" s="2" t="s">
        <v>292</v>
      </c>
    </row>
    <row r="25" spans="1:1" x14ac:dyDescent="0.25">
      <c r="A25" s="2" t="s">
        <v>293</v>
      </c>
    </row>
    <row r="26" spans="1:1" x14ac:dyDescent="0.25">
      <c r="A26" s="2" t="s">
        <v>294</v>
      </c>
    </row>
    <row r="27" spans="1:1" x14ac:dyDescent="0.25">
      <c r="A27" s="2" t="s">
        <v>295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0CCDE7-7EB8-4178-8ABF-33D4F440BC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Receipts</vt:lpstr>
      <vt:lpstr>Pulled</vt:lpstr>
      <vt:lpstr>Shipped</vt:lpstr>
      <vt:lpstr>Items</vt:lpstr>
      <vt:lpstr>Locations</vt:lpstr>
      <vt:lpstr>Lots</vt:lpstr>
      <vt:lpstr>Pulled_Item</vt:lpstr>
      <vt:lpstr>Pulled_Lot</vt:lpstr>
      <vt:lpstr>Quantity</vt:lpstr>
      <vt:lpstr>Received</vt:lpstr>
      <vt:lpstr>Received_6409</vt:lpstr>
      <vt:lpstr>Warehouse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Morgan Bell</dc:creator>
  <cp:keywords/>
  <dc:description/>
  <cp:lastModifiedBy>Bell, Morgan</cp:lastModifiedBy>
  <cp:revision/>
  <dcterms:created xsi:type="dcterms:W3CDTF">2018-06-08T20:39:31Z</dcterms:created>
  <dcterms:modified xsi:type="dcterms:W3CDTF">2018-08-07T20:31:07Z</dcterms:modified>
  <cp:category/>
  <cp:contentStatus/>
</cp:coreProperties>
</file>