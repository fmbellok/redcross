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Inventory\Warehouse\"/>
    </mc:Choice>
  </mc:AlternateContent>
  <bookViews>
    <workbookView xWindow="0" yWindow="0" windowWidth="25200" windowHeight="11700"/>
  </bookViews>
  <sheets>
    <sheet name="Receipts" sheetId="1" r:id="rId1"/>
    <sheet name="Pulled" sheetId="6" r:id="rId2"/>
    <sheet name="Shipped" sheetId="2" r:id="rId3"/>
  </sheets>
  <functionGroups builtInGroupCount="18"/>
  <definedNames>
    <definedName name="_xlnm._FilterDatabase" localSheetId="2" hidden="1">Shipped!#REF!</definedName>
    <definedName name="Pulled_Item">Pulled[item]</definedName>
    <definedName name="Pulled_Lot">Pulled[Lot]</definedName>
    <definedName name="Quantity">Pulled[Quantity]</definedName>
    <definedName name="Received">'Receipts'!$A$1:$H$43</definedName>
    <definedName name="Received_6409">Pulled[Received 6409]</definedName>
    <definedName name="Warehouse">'Receipts'!$L$2</definedName>
  </definedNames>
  <calcPr calcId="17902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3" i="1" l="1"/>
  <c r="H43" i="1"/>
  <c r="I43" i="1"/>
  <c r="G42" i="1"/>
  <c r="H42" i="1"/>
  <c r="I42" i="1"/>
  <c r="G41" i="1"/>
  <c r="H41" i="1"/>
  <c r="I41" i="1"/>
  <c r="F22" i="2"/>
  <c r="F21" i="2"/>
  <c r="G23" i="6"/>
  <c r="G22" i="6"/>
  <c r="G21" i="6"/>
  <c r="G40" i="1"/>
  <c r="H40" i="1"/>
  <c r="I40" i="1"/>
  <c r="G39" i="1"/>
  <c r="H39" i="1"/>
  <c r="I39" i="1"/>
  <c r="G38" i="1"/>
  <c r="H38" i="1"/>
  <c r="I38" i="1"/>
  <c r="G37" i="1"/>
  <c r="H37" i="1"/>
  <c r="I37" i="1"/>
  <c r="F20" i="2"/>
  <c r="F19" i="2"/>
  <c r="G20" i="6"/>
  <c r="G19" i="6"/>
  <c r="G36" i="1"/>
  <c r="H36" i="1"/>
  <c r="I36" i="1"/>
  <c r="G35" i="1"/>
  <c r="H35" i="1"/>
  <c r="I35" i="1"/>
  <c r="G34" i="1"/>
  <c r="H34" i="1"/>
  <c r="I34" i="1"/>
  <c r="G33" i="1"/>
  <c r="H33" i="1"/>
  <c r="I33" i="1"/>
  <c r="G32" i="1"/>
  <c r="H32" i="1"/>
  <c r="I32" i="1"/>
  <c r="G31" i="1"/>
  <c r="H31" i="1"/>
  <c r="I31" i="1"/>
  <c r="G30" i="1"/>
  <c r="H30" i="1"/>
  <c r="I30" i="1"/>
  <c r="G29" i="1"/>
  <c r="H29" i="1"/>
  <c r="I29" i="1"/>
  <c r="G28" i="1"/>
  <c r="H28" i="1"/>
  <c r="I28" i="1"/>
  <c r="G27" i="1"/>
  <c r="H27" i="1"/>
  <c r="I27" i="1"/>
  <c r="F18" i="2"/>
  <c r="F17" i="2"/>
  <c r="G18" i="6"/>
  <c r="G17" i="6"/>
  <c r="F16" i="2"/>
  <c r="F15" i="2"/>
  <c r="F14" i="2"/>
  <c r="G16" i="6"/>
  <c r="G15" i="6"/>
  <c r="G14" i="6"/>
  <c r="G26" i="1"/>
  <c r="H26" i="1"/>
  <c r="I26" i="1"/>
  <c r="G25" i="1"/>
  <c r="H25" i="1"/>
  <c r="I25" i="1"/>
  <c r="G24" i="1"/>
  <c r="H24" i="1"/>
  <c r="I24" i="1"/>
  <c r="G23" i="1"/>
  <c r="H23" i="1"/>
  <c r="I23" i="1"/>
  <c r="G22" i="1"/>
  <c r="H22" i="1"/>
  <c r="I22" i="1"/>
  <c r="G21" i="1"/>
  <c r="H21" i="1"/>
  <c r="I21" i="1"/>
  <c r="G20" i="1"/>
  <c r="H20" i="1"/>
  <c r="I20" i="1"/>
  <c r="G19" i="1"/>
  <c r="H19" i="1"/>
  <c r="I19" i="1"/>
  <c r="F2" i="2"/>
  <c r="F3" i="2"/>
  <c r="F4" i="2"/>
  <c r="F5" i="2"/>
  <c r="F6" i="2"/>
  <c r="F7" i="2"/>
  <c r="F8" i="2"/>
  <c r="F9" i="2"/>
  <c r="F10" i="2"/>
  <c r="F11" i="2"/>
  <c r="F12" i="2"/>
  <c r="F13" i="2"/>
  <c r="G2" i="6"/>
  <c r="G3" i="6"/>
  <c r="G4" i="6"/>
  <c r="G5" i="6"/>
  <c r="G6" i="6"/>
  <c r="G7" i="6"/>
  <c r="G8" i="6"/>
  <c r="G9" i="6"/>
  <c r="G10" i="6"/>
  <c r="G11" i="6"/>
  <c r="G12" i="6"/>
  <c r="G13" i="6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G18" i="1"/>
  <c r="H18" i="1"/>
  <c r="G17" i="1"/>
  <c r="H17" i="1"/>
  <c r="G16" i="1"/>
  <c r="H16" i="1"/>
  <c r="G15" i="1"/>
  <c r="H15" i="1"/>
  <c r="G14" i="1"/>
  <c r="H14" i="1"/>
  <c r="G13" i="1"/>
  <c r="H13" i="1"/>
  <c r="G12" i="1"/>
  <c r="H12" i="1"/>
  <c r="G11" i="1"/>
  <c r="H11" i="1"/>
  <c r="G10" i="1"/>
  <c r="G9" i="1"/>
  <c r="G8" i="1"/>
  <c r="G7" i="1"/>
  <c r="G6" i="1"/>
  <c r="G5" i="1"/>
  <c r="G4" i="1"/>
  <c r="G3" i="1"/>
  <c r="G2" i="1"/>
  <c r="H7" i="1"/>
  <c r="H10" i="1"/>
  <c r="H9" i="1"/>
  <c r="H8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<sst xmlns="http://schemas.openxmlformats.org/spreadsheetml/2006/main" count="301" uniqueCount="59">
  <si>
    <t>item</t>
  </si>
  <si>
    <t>date received</t>
  </si>
  <si>
    <t>expiration date</t>
  </si>
  <si>
    <t>Quantity Received</t>
  </si>
  <si>
    <t>Received 6409</t>
  </si>
  <si>
    <t>Lot</t>
  </si>
  <si>
    <t>Quantity Consumed</t>
  </si>
  <si>
    <t>Quantity Available</t>
  </si>
  <si>
    <t>Warehouse</t>
  </si>
  <si>
    <t>Air Freshener</t>
  </si>
  <si>
    <t>2018070001</t>
  </si>
  <si>
    <t>a</t>
  </si>
  <si>
    <t>Tulsa</t>
  </si>
  <si>
    <t>Batteries 9-Volt</t>
  </si>
  <si>
    <t>2018070002</t>
  </si>
  <si>
    <t>Binder Clips - Large</t>
  </si>
  <si>
    <t>2018070003</t>
  </si>
  <si>
    <t>c</t>
  </si>
  <si>
    <t>Binder Notebook 1#</t>
  </si>
  <si>
    <t>2018070004</t>
  </si>
  <si>
    <t>d</t>
  </si>
  <si>
    <t>All Purpose Cleaning Spray</t>
  </si>
  <si>
    <t>2018070005</t>
  </si>
  <si>
    <t>e</t>
  </si>
  <si>
    <t>2018070006</t>
  </si>
  <si>
    <t>Batteries AAA</t>
  </si>
  <si>
    <t>Bleach</t>
  </si>
  <si>
    <t>2018070016</t>
  </si>
  <si>
    <t>2018070017</t>
  </si>
  <si>
    <t>2018070018</t>
  </si>
  <si>
    <t>f</t>
  </si>
  <si>
    <t>2018070019</t>
  </si>
  <si>
    <t>2018070020</t>
  </si>
  <si>
    <t>Batteries C</t>
  </si>
  <si>
    <t>2018070024</t>
  </si>
  <si>
    <t>2018070025</t>
  </si>
  <si>
    <t>2018070027</t>
  </si>
  <si>
    <t>Shipped 6409</t>
  </si>
  <si>
    <t>Date</t>
  </si>
  <si>
    <t>Quantity</t>
  </si>
  <si>
    <t>2018070007</t>
  </si>
  <si>
    <t>2018070008</t>
  </si>
  <si>
    <t>2018070009</t>
  </si>
  <si>
    <t>2018070010</t>
  </si>
  <si>
    <t>2018070011</t>
  </si>
  <si>
    <t>2018070012</t>
  </si>
  <si>
    <t>2018070014</t>
  </si>
  <si>
    <t>2018070015</t>
  </si>
  <si>
    <t>2018070021</t>
  </si>
  <si>
    <t>2018070022</t>
  </si>
  <si>
    <t>2018070026</t>
  </si>
  <si>
    <t>2018080001</t>
  </si>
  <si>
    <t>Item</t>
  </si>
  <si>
    <t>Location</t>
  </si>
  <si>
    <t>Tulsa inside storage</t>
  </si>
  <si>
    <t>OKC inside storage</t>
  </si>
  <si>
    <t>Ft. Sill storage</t>
  </si>
  <si>
    <t>Pauls Valley storage</t>
  </si>
  <si>
    <t>Pryor storage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</si>
</sst>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49" fontId="0" fillId="0" borderId="0" xfId="0" applyNumberFormat="1"/>
    <xf numFmtId="49" fontId="0" fillId="0" borderId="0" xfId="0" applyNumberFormat="1" applyAlignment="1">
      <alignment wrapText="1"/>
    </xf>
    <xf numFmtId="49" fontId="1" fillId="0" borderId="0" xfId="0" applyNumberFormat="1" applyFont="1" applyAlignment="1">
      <alignment wrapText="1"/>
    </xf>
    <xf numFmtId="0" fontId="1" fillId="0" borderId="0" xfId="0" applyFont="1"/>
    <xf numFmtId="14" fontId="1" fillId="0" borderId="0" xfId="0" applyNumberFormat="1" applyFont="1"/>
    <xf numFmtId="49" fontId="1" fillId="0" borderId="0" xfId="0" applyNumberFormat="1" applyFont="1"/>
    <xf numFmtId="0" fontId="2" fillId="0" borderId="0" xfId="0" applyFont="1"/>
    <xf numFmtId="49" fontId="2" fillId="0" borderId="0" xfId="0" applyNumberFormat="1" applyFont="1"/>
    <xf numFmtId="0" fontId="3" fillId="0" borderId="0" xfId="0" applyFont="1" applyAlignment="1">
      <alignment wrapText="1"/>
    </xf>
    <xf numFmtId="14" fontId="3" fillId="0" borderId="0" xfId="0" applyNumberFormat="1" applyFont="1" applyAlignment="1">
      <alignment horizontal="center" wrapText="1"/>
    </xf>
    <xf numFmtId="14" fontId="3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49" fontId="3" fillId="0" borderId="0" xfId="0" applyNumberFormat="1" applyFont="1" applyAlignment="1">
      <alignment wrapText="1"/>
    </xf>
    <xf numFmtId="0" fontId="3" fillId="0" borderId="0" xfId="0" applyFont="1"/>
    <xf numFmtId="0" fontId="3" fillId="2" borderId="0" xfId="0" applyFont="1" applyFill="1"/>
    <xf numFmtId="14" fontId="3" fillId="0" borderId="0" xfId="0" applyNumberFormat="1" applyFont="1"/>
    <xf numFmtId="49" fontId="3" fillId="0" borderId="0" xfId="0" applyNumberFormat="1" applyFont="1"/>
  </cellXfs>
  <cellStyles count="1">
    <cellStyle name="Normal" xfId="0" builtinId="0"/>
  </cellStyles>
  <dxfs count="16">
    <dxf>
      <numFmt numFmtId="0" formatCode="General"/>
    </dxf>
    <dxf>
      <numFmt numFmtId="19" formatCode="m/d/yyyy"/>
    </dxf>
    <dxf>
      <numFmt numFmtId="30" formatCode="@"/>
    </dxf>
    <dxf>
      <numFmt numFmtId="0" formatCode="General"/>
    </dxf>
    <dxf>
      <numFmt numFmtId="19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30" formatCode="@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Receipts" displayName="Receipts" ref="A1:I43" totalsRowShown="0" headerRowDxfId="15">
  <tableColumns count="9">
    <tableColumn id="1" name="item"/>
    <tableColumn id="2" name="date received" dataDxfId="14"/>
    <tableColumn id="3" name="expiration date" dataDxfId="13"/>
    <tableColumn id="4" name="Quantity Received"/>
    <tableColumn id="5" name="Received 6409" dataDxfId="12"/>
    <tableColumn id="8" name="Lot"/>
    <tableColumn id="6" name="Quantity Consumed" dataDxfId="11">
      <calculatedColumnFormula>SUMIFS(Quantity,Received_6409,E2,Pulled_Lot,F2,Pulled_Item,A2)</calculatedColumnFormula>
    </tableColumn>
    <tableColumn id="7" name="Quantity Available">
      <calculatedColumnFormula>D2-G2</calculatedColumnFormula>
    </tableColumn>
    <tableColumn id="9" name="Warehouse" dataDxfId="10">
      <calculatedColumnFormula>Warehouse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Pulled" displayName="Pulled" ref="A1:G23" totalsRowShown="0" headerRowDxfId="9">
  <autoFilter ref="A1:G23"/>
  <tableColumns count="7">
    <tableColumn id="1" name="item" dataDxfId="8"/>
    <tableColumn id="2" name="Received 6409" dataDxfId="7"/>
    <tableColumn id="6" name="Lot" dataDxfId="6"/>
    <tableColumn id="3" name="Shipped 6409" dataDxfId="5"/>
    <tableColumn id="4" name="Date" dataDxfId="4"/>
    <tableColumn id="5" name="Quantity"/>
    <tableColumn id="7" name="Warehouse" dataDxfId="3">
      <calculatedColumnFormula>Warehouse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Shipped" displayName="Shipped" ref="A1:F22" totalsRowShown="0">
  <autoFilter ref="A1:F22"/>
  <tableColumns count="6">
    <tableColumn id="1" name="Item"/>
    <tableColumn id="2" name="Shipped 6409" dataDxfId="2"/>
    <tableColumn id="3" name="Date" dataDxfId="1"/>
    <tableColumn id="4" name="Quantity"/>
    <tableColumn id="5" name="Location"/>
    <tableColumn id="6" name="Warehouse" dataDxfId="0">
      <calculatedColumnFormula>Warehouse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3"/>
  <sheetViews>
    <sheetView tabSelected="1" workbookViewId="0">
      <selection activeCell="J3" sqref="J3"/>
    </sheetView>
  </sheetViews>
  <sheetFormatPr defaultColWidth="9.140625" defaultRowHeight="15" x14ac:dyDescent="0.25"/>
  <cols>
    <col min="1" max="1" width="25" style="16" bestFit="1" customWidth="1"/>
    <col min="2" max="2" width="10.85546875" style="18" customWidth="1"/>
    <col min="3" max="3" width="24.7109375" style="18" bestFit="1" customWidth="1"/>
    <col min="4" max="4" width="15.28515625" style="16" customWidth="1"/>
    <col min="5" max="5" width="16.28515625" style="19" customWidth="1"/>
    <col min="6" max="6" width="15.7109375" style="16" customWidth="1"/>
    <col min="7" max="7" width="14.42578125" style="16" customWidth="1"/>
    <col min="8" max="8" width="15.42578125" style="16" customWidth="1"/>
    <col min="9" max="9" width="19.5703125" style="19" customWidth="1"/>
    <col min="10" max="10" width="9.140625" style="16"/>
    <col min="11" max="11" width="15.7109375" style="16" customWidth="1"/>
    <col min="12" max="12" width="14.85546875" style="16" customWidth="1"/>
    <col min="13" max="13" width="9.7109375" style="16" bestFit="1" customWidth="1"/>
    <col min="14" max="14" width="10.85546875" style="16" customWidth="1"/>
    <col min="15" max="16384" width="9.140625" style="16"/>
  </cols>
  <sheetData>
    <row r="1" spans="1:12" ht="27" customHeight="1" x14ac:dyDescent="0.25">
      <c r="A1" s="11" t="s">
        <v>0</v>
      </c>
      <c r="B1" s="12" t="s">
        <v>1</v>
      </c>
      <c r="C1" s="13" t="s">
        <v>2</v>
      </c>
      <c r="D1" s="14" t="s">
        <v>3</v>
      </c>
      <c r="E1" s="15" t="s">
        <v>4</v>
      </c>
      <c r="F1" s="14" t="s">
        <v>5</v>
      </c>
      <c r="G1" s="14" t="s">
        <v>6</v>
      </c>
      <c r="H1" s="14" t="s">
        <v>7</v>
      </c>
      <c r="I1" s="15" t="s">
        <v>8</v>
      </c>
      <c r="J1" s="11"/>
      <c r="L1" s="17" t="s">
        <v>8</v>
      </c>
    </row>
    <row r="2" spans="1:12" x14ac:dyDescent="0.25">
      <c r="A2" s="16" t="s">
        <v>9</v>
      </c>
      <c r="B2" s="18">
        <v>43191</v>
      </c>
      <c r="C2" s="18">
        <v>43647</v>
      </c>
      <c r="D2" s="16">
        <v>25</v>
      </c>
      <c r="E2" s="19" t="s">
        <v>10</v>
      </c>
      <c r="F2" s="16" t="s">
        <v>11</v>
      </c>
      <c r="G2" s="16">
        <f t="shared" ref="G2:G18" si="0">SUMIFS(Quantity,Received_6409,E2,Pulled_Lot,F2,Pulled_Item,A2)</f>
        <v>22</v>
      </c>
      <c r="H2" s="16">
        <f t="shared" ref="H2:H6" si="1">D2-G2</f>
        <v>3</v>
      </c>
      <c r="I2" s="16" t="str">
        <f t="shared" ref="I2:I18" si="2">Warehouse</f>
        <v>Tulsa</v>
      </c>
      <c r="L2" s="16" t="s">
        <v>12</v>
      </c>
    </row>
    <row r="3" spans="1:12" x14ac:dyDescent="0.25">
      <c r="A3" s="16" t="s">
        <v>13</v>
      </c>
      <c r="B3" s="18">
        <v>43160</v>
      </c>
      <c r="C3" s="18">
        <v>43525</v>
      </c>
      <c r="D3" s="16">
        <v>25</v>
      </c>
      <c r="E3" s="19" t="s">
        <v>14</v>
      </c>
      <c r="F3" s="16" t="s">
        <v>11</v>
      </c>
      <c r="G3" s="16">
        <f t="shared" si="0"/>
        <v>19</v>
      </c>
      <c r="H3" s="16">
        <f t="shared" si="1"/>
        <v>6</v>
      </c>
      <c r="I3" s="16" t="str">
        <f t="shared" si="2"/>
        <v>Tulsa</v>
      </c>
    </row>
    <row r="4" spans="1:12" x14ac:dyDescent="0.25">
      <c r="A4" s="16" t="s">
        <v>15</v>
      </c>
      <c r="B4" s="18">
        <v>43191</v>
      </c>
      <c r="D4" s="16">
        <v>40</v>
      </c>
      <c r="E4" s="19" t="s">
        <v>16</v>
      </c>
      <c r="F4" s="16" t="s">
        <v>17</v>
      </c>
      <c r="G4" s="16">
        <f t="shared" si="0"/>
        <v>0</v>
      </c>
      <c r="H4" s="16">
        <f t="shared" si="1"/>
        <v>40</v>
      </c>
      <c r="I4" s="16" t="str">
        <f t="shared" si="2"/>
        <v>Tulsa</v>
      </c>
    </row>
    <row r="5" spans="1:12" x14ac:dyDescent="0.25">
      <c r="A5" s="16" t="s">
        <v>18</v>
      </c>
      <c r="B5" s="18">
        <v>43221</v>
      </c>
      <c r="D5" s="16">
        <v>50</v>
      </c>
      <c r="E5" s="19" t="s">
        <v>19</v>
      </c>
      <c r="F5" s="16" t="s">
        <v>20</v>
      </c>
      <c r="G5" s="16">
        <f t="shared" si="0"/>
        <v>0</v>
      </c>
      <c r="H5" s="16">
        <f t="shared" si="1"/>
        <v>50</v>
      </c>
      <c r="I5" s="16" t="str">
        <f t="shared" si="2"/>
        <v>Tulsa</v>
      </c>
    </row>
    <row r="6" spans="1:12" x14ac:dyDescent="0.25">
      <c r="A6" s="16" t="s">
        <v>21</v>
      </c>
      <c r="B6" s="18">
        <v>43252</v>
      </c>
      <c r="D6" s="16">
        <v>40</v>
      </c>
      <c r="E6" s="19" t="s">
        <v>22</v>
      </c>
      <c r="F6" s="16" t="s">
        <v>23</v>
      </c>
      <c r="G6" s="16">
        <f t="shared" si="0"/>
        <v>5</v>
      </c>
      <c r="H6" s="16">
        <f t="shared" si="1"/>
        <v>35</v>
      </c>
      <c r="I6" s="16" t="str">
        <f t="shared" si="2"/>
        <v>Tulsa</v>
      </c>
    </row>
    <row r="7" spans="1:12" x14ac:dyDescent="0.25">
      <c r="A7" s="16" t="s">
        <v>13</v>
      </c>
      <c r="B7" s="18">
        <v>43252</v>
      </c>
      <c r="C7" s="18">
        <v>43556</v>
      </c>
      <c r="D7" s="16">
        <v>20</v>
      </c>
      <c r="E7" s="19" t="s">
        <v>22</v>
      </c>
      <c r="F7" s="16" t="s">
        <v>20</v>
      </c>
      <c r="G7" s="16">
        <f t="shared" si="0"/>
        <v>13</v>
      </c>
      <c r="H7" s="16">
        <f t="shared" ref="H7:H18" si="3">D7-G7</f>
        <v>7</v>
      </c>
      <c r="I7" s="16" t="str">
        <f t="shared" si="2"/>
        <v>Tulsa</v>
      </c>
    </row>
    <row r="8" spans="1:12" x14ac:dyDescent="0.25">
      <c r="A8" s="16" t="s">
        <v>9</v>
      </c>
      <c r="B8" s="18">
        <v>43283</v>
      </c>
      <c r="D8" s="16">
        <v>5</v>
      </c>
      <c r="E8" s="19" t="s">
        <v>24</v>
      </c>
      <c r="F8" s="16" t="s">
        <v>11</v>
      </c>
      <c r="G8" s="16">
        <f t="shared" si="0"/>
        <v>0</v>
      </c>
      <c r="H8" s="16">
        <f t="shared" si="3"/>
        <v>5</v>
      </c>
      <c r="I8" s="16" t="str">
        <f t="shared" si="2"/>
        <v>Tulsa</v>
      </c>
    </row>
    <row r="9" spans="1:12" x14ac:dyDescent="0.25">
      <c r="A9" s="16" t="s">
        <v>13</v>
      </c>
      <c r="B9" s="18">
        <v>43283</v>
      </c>
      <c r="C9" s="18">
        <v>43648</v>
      </c>
      <c r="D9" s="16">
        <v>10</v>
      </c>
      <c r="E9" s="19" t="s">
        <v>24</v>
      </c>
      <c r="F9" s="16" t="s">
        <v>11</v>
      </c>
      <c r="G9" s="16">
        <f t="shared" si="0"/>
        <v>5</v>
      </c>
      <c r="H9" s="16">
        <f t="shared" si="3"/>
        <v>5</v>
      </c>
      <c r="I9" s="16" t="str">
        <f t="shared" si="2"/>
        <v>Tulsa</v>
      </c>
    </row>
    <row r="10" spans="1:12" x14ac:dyDescent="0.25">
      <c r="A10" s="16" t="s">
        <v>25</v>
      </c>
      <c r="B10" s="18">
        <v>43283</v>
      </c>
      <c r="C10" s="18">
        <v>43648</v>
      </c>
      <c r="D10" s="16">
        <v>10</v>
      </c>
      <c r="E10" s="19" t="s">
        <v>24</v>
      </c>
      <c r="F10" s="16" t="s">
        <v>11</v>
      </c>
      <c r="G10" s="16">
        <f t="shared" si="0"/>
        <v>4</v>
      </c>
      <c r="H10" s="16">
        <f t="shared" si="3"/>
        <v>6</v>
      </c>
      <c r="I10" s="16" t="str">
        <f t="shared" si="2"/>
        <v>Tulsa</v>
      </c>
    </row>
    <row r="11" spans="1:12" x14ac:dyDescent="0.25">
      <c r="A11" s="16" t="s">
        <v>26</v>
      </c>
      <c r="B11" s="18">
        <v>43225</v>
      </c>
      <c r="D11" s="16">
        <v>10</v>
      </c>
      <c r="E11" s="19" t="s">
        <v>27</v>
      </c>
      <c r="F11" s="16" t="s">
        <v>11</v>
      </c>
      <c r="G11" s="16">
        <f t="shared" si="0"/>
        <v>0</v>
      </c>
      <c r="H11" s="16">
        <f t="shared" si="3"/>
        <v>10</v>
      </c>
      <c r="I11" s="16" t="str">
        <f t="shared" si="2"/>
        <v>Tulsa</v>
      </c>
    </row>
    <row r="12" spans="1:12" x14ac:dyDescent="0.25">
      <c r="A12" s="16" t="s">
        <v>21</v>
      </c>
      <c r="B12" s="18">
        <v>43225</v>
      </c>
      <c r="D12" s="16">
        <v>10</v>
      </c>
      <c r="E12" s="19" t="s">
        <v>27</v>
      </c>
      <c r="F12" s="16" t="s">
        <v>11</v>
      </c>
      <c r="G12" s="16">
        <f t="shared" si="0"/>
        <v>0</v>
      </c>
      <c r="H12" s="16">
        <f t="shared" si="3"/>
        <v>10</v>
      </c>
      <c r="I12" s="16" t="str">
        <f t="shared" si="2"/>
        <v>Tulsa</v>
      </c>
    </row>
    <row r="13" spans="1:12" x14ac:dyDescent="0.25">
      <c r="A13" s="16" t="s">
        <v>18</v>
      </c>
      <c r="B13" s="18">
        <v>43225</v>
      </c>
      <c r="D13" s="16">
        <v>10</v>
      </c>
      <c r="E13" s="19" t="s">
        <v>27</v>
      </c>
      <c r="F13" s="16" t="s">
        <v>11</v>
      </c>
      <c r="G13" s="16">
        <f t="shared" si="0"/>
        <v>0</v>
      </c>
      <c r="H13" s="16">
        <f t="shared" si="3"/>
        <v>10</v>
      </c>
      <c r="I13" s="16" t="str">
        <f t="shared" si="2"/>
        <v>Tulsa</v>
      </c>
    </row>
    <row r="14" spans="1:12" x14ac:dyDescent="0.25">
      <c r="A14" s="16" t="s">
        <v>26</v>
      </c>
      <c r="B14" s="18">
        <v>43225</v>
      </c>
      <c r="D14" s="16">
        <v>5</v>
      </c>
      <c r="E14" s="19" t="s">
        <v>28</v>
      </c>
      <c r="F14" s="16" t="s">
        <v>11</v>
      </c>
      <c r="G14" s="16">
        <f t="shared" si="0"/>
        <v>5</v>
      </c>
      <c r="H14" s="16">
        <f t="shared" si="3"/>
        <v>0</v>
      </c>
      <c r="I14" s="16" t="str">
        <f t="shared" si="2"/>
        <v>Tulsa</v>
      </c>
    </row>
    <row r="15" spans="1:12" x14ac:dyDescent="0.25">
      <c r="A15" s="16" t="s">
        <v>21</v>
      </c>
      <c r="B15" s="18">
        <v>43225</v>
      </c>
      <c r="D15" s="16">
        <v>5</v>
      </c>
      <c r="E15" s="19" t="s">
        <v>28</v>
      </c>
      <c r="F15" s="16" t="s">
        <v>11</v>
      </c>
      <c r="G15" s="16">
        <f t="shared" si="0"/>
        <v>0</v>
      </c>
      <c r="H15" s="16">
        <f t="shared" si="3"/>
        <v>5</v>
      </c>
      <c r="I15" s="16" t="str">
        <f t="shared" si="2"/>
        <v>Tulsa</v>
      </c>
    </row>
    <row r="16" spans="1:12" x14ac:dyDescent="0.25">
      <c r="A16" s="16" t="s">
        <v>18</v>
      </c>
      <c r="B16" s="18">
        <v>43225</v>
      </c>
      <c r="D16" s="16">
        <v>5</v>
      </c>
      <c r="E16" s="19" t="s">
        <v>28</v>
      </c>
      <c r="F16" s="16" t="s">
        <v>11</v>
      </c>
      <c r="G16" s="16">
        <f t="shared" si="0"/>
        <v>0</v>
      </c>
      <c r="H16" s="16">
        <f t="shared" si="3"/>
        <v>5</v>
      </c>
      <c r="I16" s="16" t="str">
        <f t="shared" si="2"/>
        <v>Tulsa</v>
      </c>
    </row>
    <row r="17" spans="1:9" x14ac:dyDescent="0.25">
      <c r="A17" s="16" t="s">
        <v>25</v>
      </c>
      <c r="B17" s="18">
        <v>43225</v>
      </c>
      <c r="C17" s="18">
        <v>43560</v>
      </c>
      <c r="D17" s="16">
        <v>10</v>
      </c>
      <c r="E17" s="19" t="s">
        <v>28</v>
      </c>
      <c r="F17" s="16" t="s">
        <v>11</v>
      </c>
      <c r="G17" s="16">
        <f t="shared" si="0"/>
        <v>5</v>
      </c>
      <c r="H17" s="16">
        <f t="shared" si="3"/>
        <v>5</v>
      </c>
      <c r="I17" s="16" t="str">
        <f t="shared" si="2"/>
        <v>Tulsa</v>
      </c>
    </row>
    <row r="18" spans="1:9" x14ac:dyDescent="0.25">
      <c r="A18" s="16" t="s">
        <v>21</v>
      </c>
      <c r="B18" s="18">
        <v>43191</v>
      </c>
      <c r="D18" s="16">
        <v>20</v>
      </c>
      <c r="E18" s="19" t="s">
        <v>10</v>
      </c>
      <c r="F18" s="16" t="s">
        <v>11</v>
      </c>
      <c r="G18" s="16">
        <f t="shared" si="0"/>
        <v>0</v>
      </c>
      <c r="H18" s="16">
        <f t="shared" si="3"/>
        <v>20</v>
      </c>
      <c r="I18" s="16" t="str">
        <f t="shared" si="2"/>
        <v>Tulsa</v>
      </c>
    </row>
    <row r="19" spans="1:9" x14ac:dyDescent="0.25">
      <c r="A19" s="16" t="s">
        <v>25</v>
      </c>
      <c r="B19" s="18">
        <v>43225</v>
      </c>
      <c r="C19" s="18">
        <v>43591</v>
      </c>
      <c r="D19" s="16">
        <v>30</v>
      </c>
      <c r="E19" s="19" t="s">
        <v>29</v>
      </c>
      <c r="F19" s="16" t="s">
        <v>20</v>
      </c>
      <c r="G19" s="16">
        <f t="shared" ref="G19:G26" si="4">SUMIFS(Quantity,Received_6409,E19,Pulled_Lot,F19,Pulled_Item,A19)</f>
        <v>0</v>
      </c>
      <c r="H19" s="16">
        <f t="shared" ref="H19:H26" si="5">D19-G19</f>
        <v>30</v>
      </c>
      <c r="I19" s="16" t="str">
        <f t="shared" ref="I19:I26" si="6">Warehouse</f>
        <v>Tulsa</v>
      </c>
    </row>
    <row r="20" spans="1:9" x14ac:dyDescent="0.25">
      <c r="A20" s="16" t="s">
        <v>26</v>
      </c>
      <c r="B20" s="18">
        <v>43225</v>
      </c>
      <c r="D20" s="16">
        <v>10</v>
      </c>
      <c r="E20" s="19" t="s">
        <v>29</v>
      </c>
      <c r="F20" s="16" t="s">
        <v>20</v>
      </c>
      <c r="G20" s="16">
        <f t="shared" si="4"/>
        <v>0</v>
      </c>
      <c r="H20" s="16">
        <f t="shared" si="5"/>
        <v>10</v>
      </c>
      <c r="I20" s="16" t="str">
        <f t="shared" si="6"/>
        <v>Tulsa</v>
      </c>
    </row>
    <row r="21" spans="1:9" x14ac:dyDescent="0.25">
      <c r="A21" s="16" t="s">
        <v>21</v>
      </c>
      <c r="B21" s="18">
        <v>43225</v>
      </c>
      <c r="D21" s="16">
        <v>20</v>
      </c>
      <c r="E21" s="19" t="s">
        <v>29</v>
      </c>
      <c r="F21" s="16" t="s">
        <v>30</v>
      </c>
      <c r="G21" s="16">
        <f t="shared" si="4"/>
        <v>0</v>
      </c>
      <c r="H21" s="16">
        <f t="shared" si="5"/>
        <v>20</v>
      </c>
      <c r="I21" s="16" t="str">
        <f t="shared" si="6"/>
        <v>Tulsa</v>
      </c>
    </row>
    <row r="22" spans="1:9" x14ac:dyDescent="0.25">
      <c r="A22" s="16" t="s">
        <v>25</v>
      </c>
      <c r="B22" s="18">
        <v>43225</v>
      </c>
      <c r="C22" s="18">
        <v>43591</v>
      </c>
      <c r="D22" s="16">
        <v>30</v>
      </c>
      <c r="E22" s="19" t="s">
        <v>31</v>
      </c>
      <c r="F22" s="16" t="s">
        <v>20</v>
      </c>
      <c r="G22" s="16">
        <f t="shared" si="4"/>
        <v>0</v>
      </c>
      <c r="H22" s="16">
        <f t="shared" si="5"/>
        <v>30</v>
      </c>
      <c r="I22" s="16" t="str">
        <f t="shared" si="6"/>
        <v>Tulsa</v>
      </c>
    </row>
    <row r="23" spans="1:9" x14ac:dyDescent="0.25">
      <c r="A23" s="16" t="s">
        <v>26</v>
      </c>
      <c r="B23" s="18">
        <v>43225</v>
      </c>
      <c r="D23" s="16">
        <v>10</v>
      </c>
      <c r="E23" s="19" t="s">
        <v>31</v>
      </c>
      <c r="F23" s="16" t="s">
        <v>20</v>
      </c>
      <c r="G23" s="16">
        <f t="shared" si="4"/>
        <v>5</v>
      </c>
      <c r="H23" s="16">
        <f t="shared" si="5"/>
        <v>5</v>
      </c>
      <c r="I23" s="16" t="str">
        <f t="shared" si="6"/>
        <v>Tulsa</v>
      </c>
    </row>
    <row r="24" spans="1:9" x14ac:dyDescent="0.25">
      <c r="A24" s="16" t="s">
        <v>21</v>
      </c>
      <c r="B24" s="18">
        <v>43225</v>
      </c>
      <c r="D24" s="16">
        <v>20</v>
      </c>
      <c r="E24" s="19" t="s">
        <v>31</v>
      </c>
      <c r="F24" s="16" t="s">
        <v>30</v>
      </c>
      <c r="G24" s="16">
        <f t="shared" si="4"/>
        <v>0</v>
      </c>
      <c r="H24" s="16">
        <f t="shared" si="5"/>
        <v>20</v>
      </c>
      <c r="I24" s="16" t="str">
        <f t="shared" si="6"/>
        <v>Tulsa</v>
      </c>
    </row>
    <row r="25" spans="1:9" x14ac:dyDescent="0.25">
      <c r="A25" s="16" t="s">
        <v>25</v>
      </c>
      <c r="B25" s="18">
        <v>43225</v>
      </c>
      <c r="C25" s="18">
        <v>43591</v>
      </c>
      <c r="D25" s="16">
        <v>40</v>
      </c>
      <c r="E25" s="19" t="s">
        <v>32</v>
      </c>
      <c r="F25" s="16" t="s">
        <v>20</v>
      </c>
      <c r="G25" s="16">
        <f t="shared" si="4"/>
        <v>0</v>
      </c>
      <c r="H25" s="16">
        <f t="shared" si="5"/>
        <v>40</v>
      </c>
      <c r="I25" s="16" t="str">
        <f t="shared" si="6"/>
        <v>Tulsa</v>
      </c>
    </row>
    <row r="26" spans="1:9" x14ac:dyDescent="0.25">
      <c r="A26" s="16" t="s">
        <v>26</v>
      </c>
      <c r="B26" s="18">
        <v>43225</v>
      </c>
      <c r="D26" s="16">
        <v>10</v>
      </c>
      <c r="E26" s="19" t="s">
        <v>32</v>
      </c>
      <c r="F26" s="16" t="s">
        <v>20</v>
      </c>
      <c r="G26" s="16">
        <f t="shared" si="4"/>
        <v>0</v>
      </c>
      <c r="H26" s="16">
        <f t="shared" si="5"/>
        <v>10</v>
      </c>
      <c r="I26" s="16" t="str">
        <f t="shared" si="6"/>
        <v>Tulsa</v>
      </c>
    </row>
    <row r="27" spans="1:9" x14ac:dyDescent="0.25">
      <c r="A27" s="16" t="s">
        <v>13</v>
      </c>
      <c r="B27" s="18">
        <v>43225</v>
      </c>
      <c r="C27" s="18">
        <v>43590</v>
      </c>
      <c r="D27" s="16">
        <v>10</v>
      </c>
      <c r="E27" s="19" t="s">
        <v>28</v>
      </c>
      <c r="F27" s="16" t="s">
        <v>11</v>
      </c>
      <c r="G27" s="16">
        <f t="shared" ref="G27:G36" si="7">SUMIFS(Quantity,Received_6409,E27,Pulled_Lot,F27,Pulled_Item,A27)</f>
        <v>0</v>
      </c>
      <c r="H27" s="16">
        <f t="shared" ref="H27:H36" si="8">D27-G27</f>
        <v>10</v>
      </c>
      <c r="I27" s="16" t="str">
        <f t="shared" ref="I27:I36" si="9">Warehouse</f>
        <v>Tulsa</v>
      </c>
    </row>
    <row r="28" spans="1:9" x14ac:dyDescent="0.25">
      <c r="A28" s="16" t="s">
        <v>33</v>
      </c>
      <c r="B28" s="18">
        <v>43225</v>
      </c>
      <c r="D28" s="16">
        <v>10</v>
      </c>
      <c r="E28" s="19" t="s">
        <v>28</v>
      </c>
      <c r="F28" s="16" t="s">
        <v>11</v>
      </c>
      <c r="G28" s="16">
        <f t="shared" si="7"/>
        <v>0</v>
      </c>
      <c r="H28" s="16">
        <f t="shared" si="8"/>
        <v>10</v>
      </c>
      <c r="I28" s="16" t="str">
        <f t="shared" si="9"/>
        <v>Tulsa</v>
      </c>
    </row>
    <row r="29" spans="1:9" x14ac:dyDescent="0.25">
      <c r="A29" s="16" t="s">
        <v>18</v>
      </c>
      <c r="B29" s="18">
        <v>43225</v>
      </c>
      <c r="D29" s="16">
        <v>10</v>
      </c>
      <c r="E29" s="19" t="s">
        <v>34</v>
      </c>
      <c r="F29" s="16" t="s">
        <v>11</v>
      </c>
      <c r="G29" s="16">
        <f t="shared" si="7"/>
        <v>0</v>
      </c>
      <c r="H29" s="16">
        <f t="shared" si="8"/>
        <v>10</v>
      </c>
      <c r="I29" s="16" t="str">
        <f t="shared" si="9"/>
        <v>Tulsa</v>
      </c>
    </row>
    <row r="30" spans="1:9" x14ac:dyDescent="0.25">
      <c r="A30" s="16" t="s">
        <v>25</v>
      </c>
      <c r="B30" s="18">
        <v>43225</v>
      </c>
      <c r="C30" s="18">
        <v>43560</v>
      </c>
      <c r="D30" s="16">
        <v>10</v>
      </c>
      <c r="E30" s="19" t="s">
        <v>34</v>
      </c>
      <c r="F30" s="16" t="s">
        <v>11</v>
      </c>
      <c r="G30" s="16">
        <f t="shared" si="7"/>
        <v>0</v>
      </c>
      <c r="H30" s="16">
        <f t="shared" si="8"/>
        <v>10</v>
      </c>
      <c r="I30" s="16" t="str">
        <f t="shared" si="9"/>
        <v>Tulsa</v>
      </c>
    </row>
    <row r="31" spans="1:9" x14ac:dyDescent="0.25">
      <c r="A31" s="16" t="s">
        <v>13</v>
      </c>
      <c r="B31" s="18">
        <v>43225</v>
      </c>
      <c r="C31" s="18">
        <v>43590</v>
      </c>
      <c r="D31" s="16">
        <v>10</v>
      </c>
      <c r="E31" s="19" t="s">
        <v>34</v>
      </c>
      <c r="F31" s="16" t="s">
        <v>11</v>
      </c>
      <c r="G31" s="16">
        <f t="shared" si="7"/>
        <v>0</v>
      </c>
      <c r="H31" s="16">
        <f t="shared" si="8"/>
        <v>10</v>
      </c>
      <c r="I31" s="16" t="str">
        <f t="shared" si="9"/>
        <v>Tulsa</v>
      </c>
    </row>
    <row r="32" spans="1:9" x14ac:dyDescent="0.25">
      <c r="A32" s="16" t="s">
        <v>33</v>
      </c>
      <c r="B32" s="18">
        <v>43225</v>
      </c>
      <c r="D32" s="16">
        <v>10</v>
      </c>
      <c r="E32" s="19" t="s">
        <v>34</v>
      </c>
      <c r="F32" s="16" t="s">
        <v>11</v>
      </c>
      <c r="G32" s="16">
        <f t="shared" si="7"/>
        <v>0</v>
      </c>
      <c r="H32" s="16">
        <f t="shared" si="8"/>
        <v>10</v>
      </c>
      <c r="I32" s="16" t="str">
        <f t="shared" si="9"/>
        <v>Tulsa</v>
      </c>
    </row>
    <row r="33" spans="1:9" x14ac:dyDescent="0.25">
      <c r="A33" s="16" t="s">
        <v>18</v>
      </c>
      <c r="B33" s="18">
        <v>43225</v>
      </c>
      <c r="D33" s="16">
        <v>5</v>
      </c>
      <c r="E33" s="19" t="s">
        <v>35</v>
      </c>
      <c r="F33" s="16" t="s">
        <v>11</v>
      </c>
      <c r="G33" s="16">
        <f t="shared" si="7"/>
        <v>0</v>
      </c>
      <c r="H33" s="16">
        <f t="shared" si="8"/>
        <v>5</v>
      </c>
      <c r="I33" s="16" t="str">
        <f t="shared" si="9"/>
        <v>Tulsa</v>
      </c>
    </row>
    <row r="34" spans="1:9" x14ac:dyDescent="0.25">
      <c r="A34" s="16" t="s">
        <v>25</v>
      </c>
      <c r="B34" s="18">
        <v>43225</v>
      </c>
      <c r="C34" s="18">
        <v>43560</v>
      </c>
      <c r="D34" s="16">
        <v>10</v>
      </c>
      <c r="E34" s="19" t="s">
        <v>35</v>
      </c>
      <c r="F34" s="16" t="s">
        <v>11</v>
      </c>
      <c r="G34" s="16">
        <f t="shared" si="7"/>
        <v>0</v>
      </c>
      <c r="H34" s="16">
        <f t="shared" si="8"/>
        <v>10</v>
      </c>
      <c r="I34" s="16" t="str">
        <f t="shared" si="9"/>
        <v>Tulsa</v>
      </c>
    </row>
    <row r="35" spans="1:9" x14ac:dyDescent="0.25">
      <c r="A35" s="16" t="s">
        <v>13</v>
      </c>
      <c r="B35" s="18">
        <v>43225</v>
      </c>
      <c r="C35" s="18">
        <v>43590</v>
      </c>
      <c r="D35" s="16">
        <v>10</v>
      </c>
      <c r="E35" s="19" t="s">
        <v>35</v>
      </c>
      <c r="F35" s="16" t="s">
        <v>11</v>
      </c>
      <c r="G35" s="16">
        <f t="shared" si="7"/>
        <v>0</v>
      </c>
      <c r="H35" s="16">
        <f t="shared" si="8"/>
        <v>10</v>
      </c>
      <c r="I35" s="16" t="str">
        <f t="shared" si="9"/>
        <v>Tulsa</v>
      </c>
    </row>
    <row r="36" spans="1:9" x14ac:dyDescent="0.25">
      <c r="A36" s="16" t="s">
        <v>33</v>
      </c>
      <c r="B36" s="18">
        <v>43225</v>
      </c>
      <c r="D36" s="16">
        <v>10</v>
      </c>
      <c r="E36" s="19" t="s">
        <v>35</v>
      </c>
      <c r="F36" s="16" t="s">
        <v>11</v>
      </c>
      <c r="G36" s="16">
        <f t="shared" si="7"/>
        <v>0</v>
      </c>
      <c r="H36" s="16">
        <f t="shared" si="8"/>
        <v>10</v>
      </c>
      <c r="I36" s="16" t="str">
        <f t="shared" si="9"/>
        <v>Tulsa</v>
      </c>
    </row>
    <row r="37" spans="1:9" x14ac:dyDescent="0.25">
      <c r="A37" s="16" t="s">
        <v>26</v>
      </c>
      <c r="B37" s="18">
        <v>43225</v>
      </c>
      <c r="D37" s="16">
        <v>5</v>
      </c>
      <c r="E37" s="19" t="s">
        <v>36</v>
      </c>
      <c r="F37" s="16" t="s">
        <v>11</v>
      </c>
      <c r="G37" s="16">
        <f t="shared" ref="G37:G43" si="10">SUMIFS(Quantity,Received_6409,E37,Pulled_Lot,F37,Pulled_Item,A37)</f>
        <v>0</v>
      </c>
      <c r="H37" s="16">
        <f t="shared" ref="H37:H43" si="11">D37-G37</f>
        <v>5</v>
      </c>
      <c r="I37" s="16" t="str">
        <f t="shared" ref="I37:I43" si="12">Warehouse</f>
        <v>Tulsa</v>
      </c>
    </row>
    <row r="38" spans="1:9" x14ac:dyDescent="0.25">
      <c r="A38" s="16" t="s">
        <v>21</v>
      </c>
      <c r="B38" s="18">
        <v>43225</v>
      </c>
      <c r="D38" s="16">
        <v>5</v>
      </c>
      <c r="E38" s="19" t="s">
        <v>36</v>
      </c>
      <c r="F38" s="16" t="s">
        <v>11</v>
      </c>
      <c r="G38" s="16">
        <f t="shared" si="10"/>
        <v>0</v>
      </c>
      <c r="H38" s="16">
        <f t="shared" si="11"/>
        <v>5</v>
      </c>
      <c r="I38" s="16" t="str">
        <f t="shared" si="12"/>
        <v>Tulsa</v>
      </c>
    </row>
    <row r="39" spans="1:9" x14ac:dyDescent="0.25">
      <c r="A39" s="16" t="s">
        <v>18</v>
      </c>
      <c r="B39" s="18">
        <v>43225</v>
      </c>
      <c r="D39" s="16">
        <v>5</v>
      </c>
      <c r="E39" s="19" t="s">
        <v>36</v>
      </c>
      <c r="F39" s="16" t="s">
        <v>11</v>
      </c>
      <c r="G39" s="16">
        <f t="shared" si="10"/>
        <v>0</v>
      </c>
      <c r="H39" s="16">
        <f t="shared" si="11"/>
        <v>5</v>
      </c>
      <c r="I39" s="16" t="str">
        <f t="shared" si="12"/>
        <v>Tulsa</v>
      </c>
    </row>
    <row r="40" spans="1:9" x14ac:dyDescent="0.25">
      <c r="A40" s="16" t="s">
        <v>25</v>
      </c>
      <c r="B40" s="18">
        <v>43225</v>
      </c>
      <c r="C40" s="18">
        <v>43560</v>
      </c>
      <c r="D40" s="16">
        <v>10</v>
      </c>
      <c r="E40" s="19" t="s">
        <v>36</v>
      </c>
      <c r="F40" s="16" t="s">
        <v>11</v>
      </c>
      <c r="G40" s="16">
        <f t="shared" si="10"/>
        <v>0</v>
      </c>
      <c r="H40" s="16">
        <f t="shared" si="11"/>
        <v>10</v>
      </c>
      <c r="I40" s="16" t="str">
        <f t="shared" si="12"/>
        <v>Tulsa</v>
      </c>
    </row>
    <row r="41" spans="1:9" x14ac:dyDescent="0.25">
      <c r="A41" s="16" t="s">
        <v>13</v>
      </c>
      <c r="B41" s="18">
        <v>43225</v>
      </c>
      <c r="C41" s="18">
        <v>43590</v>
      </c>
      <c r="D41" s="16">
        <v>10</v>
      </c>
      <c r="E41" s="19" t="s">
        <v>36</v>
      </c>
      <c r="F41" s="16" t="s">
        <v>11</v>
      </c>
      <c r="G41" s="16">
        <f t="shared" si="10"/>
        <v>0</v>
      </c>
      <c r="H41" s="16">
        <f t="shared" si="11"/>
        <v>10</v>
      </c>
      <c r="I41" s="16" t="str">
        <f t="shared" si="12"/>
        <v>Tulsa</v>
      </c>
    </row>
    <row r="42" spans="1:9" x14ac:dyDescent="0.25">
      <c r="A42" s="16" t="s">
        <v>33</v>
      </c>
      <c r="B42" s="18">
        <v>43225</v>
      </c>
      <c r="D42" s="16">
        <v>10</v>
      </c>
      <c r="E42" s="19" t="s">
        <v>36</v>
      </c>
      <c r="F42" s="16" t="s">
        <v>11</v>
      </c>
      <c r="G42" s="16">
        <f t="shared" si="10"/>
        <v>0</v>
      </c>
      <c r="H42" s="16">
        <f t="shared" si="11"/>
        <v>10</v>
      </c>
      <c r="I42" s="16" t="str">
        <f t="shared" si="12"/>
        <v>Tulsa</v>
      </c>
    </row>
    <row r="43" spans="1:9" x14ac:dyDescent="0.25">
      <c r="A43" s="16" t="s">
        <v>15</v>
      </c>
      <c r="B43" s="18">
        <v>43225</v>
      </c>
      <c r="D43" s="16">
        <v>10</v>
      </c>
      <c r="E43" s="19" t="s">
        <v>36</v>
      </c>
      <c r="F43" s="16" t="s">
        <v>11</v>
      </c>
      <c r="G43" s="16">
        <f t="shared" si="10"/>
        <v>0</v>
      </c>
      <c r="H43" s="16">
        <f t="shared" si="11"/>
        <v>10</v>
      </c>
      <c r="I43" s="16" t="str">
        <f t="shared" si="12"/>
        <v>Tulsa</v>
      </c>
    </row>
  </sheetData>
  <dataConsolidate/>
  <dataValidations count="1">
    <dataValidation type="list" allowBlank="1" showInputMessage="1" showErrorMessage="1" sqref="F11:F1048576">
      <formula1>#REF!</formula1>
    </dataValidation>
  </dataValidations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"/>
  <sheetViews>
    <sheetView workbookViewId="0">
      <selection activeCell="A17" sqref="A17:G17"/>
    </sheetView>
  </sheetViews>
  <sheetFormatPr defaultRowHeight="15" x14ac:dyDescent="0.25"/>
  <cols>
    <col min="1" max="1" width="25" bestFit="1" customWidth="1"/>
    <col min="2" max="2" width="14.85546875" customWidth="1"/>
    <col min="3" max="3" width="6" bestFit="1" customWidth="1"/>
    <col min="4" max="4" width="14.140625" style="3" customWidth="1"/>
    <col min="5" max="5" width="9.7109375" bestFit="1" customWidth="1"/>
    <col min="6" max="6" width="11" bestFit="1" customWidth="1"/>
    <col min="7" max="7" width="12.28515625" bestFit="1" customWidth="1"/>
  </cols>
  <sheetData>
    <row r="1" spans="1:7" x14ac:dyDescent="0.25">
      <c r="A1" s="4" t="s">
        <v>0</v>
      </c>
      <c r="B1" s="4" t="s">
        <v>4</v>
      </c>
      <c r="C1" s="4" t="s">
        <v>5</v>
      </c>
      <c r="D1" s="4" t="s">
        <v>37</v>
      </c>
      <c r="E1" s="1" t="s">
        <v>38</v>
      </c>
      <c r="F1" s="1" t="s">
        <v>39</v>
      </c>
      <c r="G1" s="1" t="s">
        <v>8</v>
      </c>
    </row>
    <row r="2" spans="1:7" x14ac:dyDescent="0.25">
      <c r="A2" s="3" t="s">
        <v>13</v>
      </c>
      <c r="B2" s="3" t="s">
        <v>14</v>
      </c>
      <c r="C2" s="3" t="s">
        <v>11</v>
      </c>
      <c r="D2" s="3" t="s">
        <v>40</v>
      </c>
      <c r="E2" s="2">
        <v>43311</v>
      </c>
      <c r="F2">
        <v>3</v>
      </c>
      <c r="G2" t="str">
        <f t="shared" ref="G2:G13" si="0">Warehouse</f>
        <v>Tulsa</v>
      </c>
    </row>
    <row r="3" spans="1:7" x14ac:dyDescent="0.25">
      <c r="A3" s="3" t="s">
        <v>9</v>
      </c>
      <c r="B3" s="3" t="s">
        <v>10</v>
      </c>
      <c r="C3" s="3" t="s">
        <v>11</v>
      </c>
      <c r="D3" s="3" t="s">
        <v>40</v>
      </c>
      <c r="E3" s="2">
        <v>43311</v>
      </c>
      <c r="F3">
        <v>5</v>
      </c>
      <c r="G3" t="str">
        <f t="shared" si="0"/>
        <v>Tulsa</v>
      </c>
    </row>
    <row r="4" spans="1:7" x14ac:dyDescent="0.25">
      <c r="A4" s="3" t="s">
        <v>13</v>
      </c>
      <c r="B4" s="3" t="s">
        <v>14</v>
      </c>
      <c r="C4" s="3" t="s">
        <v>11</v>
      </c>
      <c r="D4" s="3" t="s">
        <v>41</v>
      </c>
      <c r="E4" s="2">
        <v>43311</v>
      </c>
      <c r="F4">
        <v>5</v>
      </c>
      <c r="G4" t="str">
        <f t="shared" si="0"/>
        <v>Tulsa</v>
      </c>
    </row>
    <row r="5" spans="1:7" x14ac:dyDescent="0.25">
      <c r="A5" s="3" t="s">
        <v>21</v>
      </c>
      <c r="B5" s="3" t="s">
        <v>22</v>
      </c>
      <c r="C5" s="3" t="s">
        <v>23</v>
      </c>
      <c r="D5" s="3" t="s">
        <v>41</v>
      </c>
      <c r="E5" s="2">
        <v>43311</v>
      </c>
      <c r="F5">
        <v>5</v>
      </c>
      <c r="G5" t="str">
        <f t="shared" si="0"/>
        <v>Tulsa</v>
      </c>
    </row>
    <row r="6" spans="1:7" x14ac:dyDescent="0.25">
      <c r="A6" s="3" t="s">
        <v>9</v>
      </c>
      <c r="B6" s="3" t="s">
        <v>10</v>
      </c>
      <c r="C6" s="3" t="s">
        <v>11</v>
      </c>
      <c r="D6" s="3" t="s">
        <v>42</v>
      </c>
      <c r="E6" s="2">
        <v>43311</v>
      </c>
      <c r="F6">
        <v>5</v>
      </c>
      <c r="G6" t="str">
        <f t="shared" si="0"/>
        <v>Tulsa</v>
      </c>
    </row>
    <row r="7" spans="1:7" x14ac:dyDescent="0.25">
      <c r="A7" s="3" t="s">
        <v>9</v>
      </c>
      <c r="B7" s="3" t="s">
        <v>10</v>
      </c>
      <c r="C7" s="3" t="s">
        <v>11</v>
      </c>
      <c r="D7" s="3" t="s">
        <v>43</v>
      </c>
      <c r="E7" s="2">
        <v>43311</v>
      </c>
      <c r="F7">
        <v>5</v>
      </c>
      <c r="G7" t="str">
        <f t="shared" si="0"/>
        <v>Tulsa</v>
      </c>
    </row>
    <row r="8" spans="1:7" x14ac:dyDescent="0.25">
      <c r="A8" s="3" t="s">
        <v>13</v>
      </c>
      <c r="B8" s="3" t="s">
        <v>14</v>
      </c>
      <c r="C8" s="3" t="s">
        <v>11</v>
      </c>
      <c r="D8" s="3" t="s">
        <v>44</v>
      </c>
      <c r="E8" s="2">
        <v>43311</v>
      </c>
      <c r="F8">
        <v>5</v>
      </c>
      <c r="G8" t="str">
        <f t="shared" si="0"/>
        <v>Tulsa</v>
      </c>
    </row>
    <row r="9" spans="1:7" x14ac:dyDescent="0.25">
      <c r="A9" s="3" t="s">
        <v>25</v>
      </c>
      <c r="B9" s="3" t="s">
        <v>24</v>
      </c>
      <c r="C9" s="3" t="s">
        <v>11</v>
      </c>
      <c r="D9" s="3" t="s">
        <v>44</v>
      </c>
      <c r="E9" s="2">
        <v>43311</v>
      </c>
      <c r="F9">
        <v>2</v>
      </c>
      <c r="G9" t="str">
        <f t="shared" si="0"/>
        <v>Tulsa</v>
      </c>
    </row>
    <row r="10" spans="1:7" x14ac:dyDescent="0.25">
      <c r="A10" s="3" t="s">
        <v>13</v>
      </c>
      <c r="B10" s="3" t="s">
        <v>22</v>
      </c>
      <c r="C10" s="3" t="s">
        <v>20</v>
      </c>
      <c r="D10" s="3" t="s">
        <v>45</v>
      </c>
      <c r="E10" s="2">
        <v>43311</v>
      </c>
      <c r="F10">
        <v>2</v>
      </c>
      <c r="G10" t="str">
        <f t="shared" si="0"/>
        <v>Tulsa</v>
      </c>
    </row>
    <row r="11" spans="1:7" x14ac:dyDescent="0.25">
      <c r="A11" s="3" t="s">
        <v>13</v>
      </c>
      <c r="B11" s="3" t="s">
        <v>22</v>
      </c>
      <c r="C11" s="3" t="s">
        <v>20</v>
      </c>
      <c r="D11" s="3" t="s">
        <v>46</v>
      </c>
      <c r="E11" s="2">
        <v>43311</v>
      </c>
      <c r="F11">
        <v>2</v>
      </c>
      <c r="G11" t="str">
        <f t="shared" si="0"/>
        <v>Tulsa</v>
      </c>
    </row>
    <row r="12" spans="1:7" x14ac:dyDescent="0.25">
      <c r="A12" s="3" t="s">
        <v>13</v>
      </c>
      <c r="B12" s="3" t="s">
        <v>14</v>
      </c>
      <c r="C12" s="3" t="s">
        <v>11</v>
      </c>
      <c r="D12" s="3" t="s">
        <v>47</v>
      </c>
      <c r="E12" s="2">
        <v>43312</v>
      </c>
      <c r="F12">
        <v>3</v>
      </c>
      <c r="G12" t="str">
        <f t="shared" si="0"/>
        <v>Tulsa</v>
      </c>
    </row>
    <row r="13" spans="1:7" x14ac:dyDescent="0.25">
      <c r="A13" s="3" t="s">
        <v>25</v>
      </c>
      <c r="B13" s="3" t="s">
        <v>24</v>
      </c>
      <c r="C13" s="3" t="s">
        <v>11</v>
      </c>
      <c r="D13" s="3" t="s">
        <v>47</v>
      </c>
      <c r="E13" s="2">
        <v>43312</v>
      </c>
      <c r="F13">
        <v>2</v>
      </c>
      <c r="G13" t="str">
        <f t="shared" si="0"/>
        <v>Tulsa</v>
      </c>
    </row>
    <row r="14" spans="1:7" x14ac:dyDescent="0.25">
      <c r="A14" s="3" t="s">
        <v>9</v>
      </c>
      <c r="B14" s="3" t="s">
        <v>10</v>
      </c>
      <c r="C14" s="3" t="s">
        <v>11</v>
      </c>
      <c r="D14" s="3" t="s">
        <v>48</v>
      </c>
      <c r="E14" s="2">
        <v>43312</v>
      </c>
      <c r="F14">
        <v>4</v>
      </c>
      <c r="G14" t="str">
        <f t="shared" ref="G14:G20" si="1">Warehouse</f>
        <v>Tulsa</v>
      </c>
    </row>
    <row r="15" spans="1:7" x14ac:dyDescent="0.25">
      <c r="A15" s="3" t="s">
        <v>26</v>
      </c>
      <c r="B15" s="3" t="s">
        <v>28</v>
      </c>
      <c r="C15" s="3" t="s">
        <v>11</v>
      </c>
      <c r="D15" s="3" t="s">
        <v>48</v>
      </c>
      <c r="E15" s="2">
        <v>43312</v>
      </c>
      <c r="F15">
        <v>5</v>
      </c>
      <c r="G15" t="str">
        <f t="shared" si="1"/>
        <v>Tulsa</v>
      </c>
    </row>
    <row r="16" spans="1:7" x14ac:dyDescent="0.25">
      <c r="A16" s="3" t="s">
        <v>13</v>
      </c>
      <c r="B16" s="3" t="s">
        <v>22</v>
      </c>
      <c r="C16" s="3" t="s">
        <v>20</v>
      </c>
      <c r="D16" s="3" t="s">
        <v>48</v>
      </c>
      <c r="E16" s="2">
        <v>43312</v>
      </c>
      <c r="F16">
        <v>2</v>
      </c>
      <c r="G16" t="str">
        <f t="shared" si="1"/>
        <v>Tulsa</v>
      </c>
    </row>
    <row r="17" spans="1:7" x14ac:dyDescent="0.25">
      <c r="A17" s="3" t="s">
        <v>13</v>
      </c>
      <c r="B17" s="3" t="s">
        <v>14</v>
      </c>
      <c r="C17" s="3" t="s">
        <v>11</v>
      </c>
      <c r="D17" s="3" t="s">
        <v>49</v>
      </c>
      <c r="E17" s="2">
        <v>43313</v>
      </c>
      <c r="F17">
        <v>3</v>
      </c>
      <c r="G17" t="str">
        <f t="shared" si="1"/>
        <v>Tulsa</v>
      </c>
    </row>
    <row r="18" spans="1:7" x14ac:dyDescent="0.25">
      <c r="A18" s="3" t="s">
        <v>26</v>
      </c>
      <c r="B18" s="3" t="s">
        <v>31</v>
      </c>
      <c r="C18" s="3" t="s">
        <v>20</v>
      </c>
      <c r="D18" s="3" t="s">
        <v>49</v>
      </c>
      <c r="E18" s="2">
        <v>43313</v>
      </c>
      <c r="F18">
        <v>5</v>
      </c>
      <c r="G18" t="str">
        <f t="shared" si="1"/>
        <v>Tulsa</v>
      </c>
    </row>
    <row r="19" spans="1:7" x14ac:dyDescent="0.25">
      <c r="A19" s="3" t="s">
        <v>13</v>
      </c>
      <c r="B19" s="3" t="s">
        <v>22</v>
      </c>
      <c r="C19" s="3" t="s">
        <v>20</v>
      </c>
      <c r="D19" s="3" t="s">
        <v>50</v>
      </c>
      <c r="E19" s="2">
        <v>43314</v>
      </c>
      <c r="F19">
        <v>2</v>
      </c>
      <c r="G19" t="str">
        <f t="shared" si="1"/>
        <v>Tulsa</v>
      </c>
    </row>
    <row r="20" spans="1:7" x14ac:dyDescent="0.25">
      <c r="A20" s="3" t="s">
        <v>25</v>
      </c>
      <c r="B20" s="3" t="s">
        <v>28</v>
      </c>
      <c r="C20" s="3" t="s">
        <v>11</v>
      </c>
      <c r="D20" s="3" t="s">
        <v>50</v>
      </c>
      <c r="E20" s="2">
        <v>43314</v>
      </c>
      <c r="F20">
        <v>5</v>
      </c>
      <c r="G20" t="str">
        <f t="shared" si="1"/>
        <v>Tulsa</v>
      </c>
    </row>
    <row r="21" spans="1:7" x14ac:dyDescent="0.25">
      <c r="A21" s="3" t="s">
        <v>13</v>
      </c>
      <c r="B21" s="3" t="s">
        <v>22</v>
      </c>
      <c r="C21" s="3" t="s">
        <v>20</v>
      </c>
      <c r="D21" s="3" t="s">
        <v>51</v>
      </c>
      <c r="E21" s="2">
        <v>43314</v>
      </c>
      <c r="F21">
        <v>5</v>
      </c>
      <c r="G21" t="str">
        <f>Warehouse</f>
        <v>Tulsa</v>
      </c>
    </row>
    <row r="22" spans="1:7" x14ac:dyDescent="0.25">
      <c r="A22" s="3" t="s">
        <v>13</v>
      </c>
      <c r="B22" s="3" t="s">
        <v>24</v>
      </c>
      <c r="C22" s="3" t="s">
        <v>11</v>
      </c>
      <c r="D22" s="3" t="s">
        <v>51</v>
      </c>
      <c r="E22" s="2">
        <v>43314</v>
      </c>
      <c r="F22">
        <v>5</v>
      </c>
      <c r="G22" t="str">
        <f>Warehouse</f>
        <v>Tulsa</v>
      </c>
    </row>
    <row r="23" spans="1:7" x14ac:dyDescent="0.25">
      <c r="A23" s="3" t="s">
        <v>9</v>
      </c>
      <c r="B23" s="3" t="s">
        <v>10</v>
      </c>
      <c r="C23" s="3" t="s">
        <v>11</v>
      </c>
      <c r="D23" s="3" t="s">
        <v>51</v>
      </c>
      <c r="E23" s="2">
        <v>43314</v>
      </c>
      <c r="F23">
        <v>3</v>
      </c>
      <c r="G23" t="str">
        <f>Warehouse</f>
        <v>Tulsa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"/>
  <sheetViews>
    <sheetView workbookViewId="0">
      <selection activeCell="F3" sqref="F3"/>
    </sheetView>
  </sheetViews>
  <sheetFormatPr defaultColWidth="9.140625" defaultRowHeight="15" x14ac:dyDescent="0.25"/>
  <cols>
    <col min="1" max="1" width="18.140625" style="9" bestFit="1" customWidth="1"/>
    <col min="2" max="2" width="14.85546875" style="10" customWidth="1"/>
    <col min="3" max="3" width="9.7109375" style="9" bestFit="1" customWidth="1"/>
    <col min="4" max="4" width="10.85546875" style="9" customWidth="1"/>
    <col min="5" max="5" width="29.28515625" style="9" bestFit="1" customWidth="1"/>
    <col min="6" max="6" width="15" style="9" bestFit="1" customWidth="1"/>
    <col min="7" max="9" width="9.140625" style="9"/>
    <col min="10" max="10" width="11" style="9" bestFit="1" customWidth="1"/>
    <col min="11" max="16384" width="9.140625" style="9"/>
  </cols>
  <sheetData>
    <row r="1" spans="1:6" x14ac:dyDescent="0.25">
      <c r="A1" s="6" t="s">
        <v>52</v>
      </c>
      <c r="B1" s="5" t="s">
        <v>37</v>
      </c>
      <c r="C1" s="6" t="s">
        <v>38</v>
      </c>
      <c r="D1" s="6" t="s">
        <v>39</v>
      </c>
      <c r="E1" s="6" t="s">
        <v>53</v>
      </c>
      <c r="F1" s="6" t="s">
        <v>8</v>
      </c>
    </row>
    <row r="2" spans="1:6" x14ac:dyDescent="0.25">
      <c r="A2" s="6" t="s">
        <v>13</v>
      </c>
      <c r="B2" s="8" t="s">
        <v>40</v>
      </c>
      <c r="C2" s="7">
        <v>43311</v>
      </c>
      <c r="D2" s="6">
        <v>3</v>
      </c>
      <c r="E2" s="6" t="s">
        <v>54</v>
      </c>
      <c r="F2" s="6" t="str">
        <f t="shared" ref="F2:F13" si="0">Warehouse</f>
        <v>Tulsa</v>
      </c>
    </row>
    <row r="3" spans="1:6" x14ac:dyDescent="0.25">
      <c r="A3" s="6" t="s">
        <v>9</v>
      </c>
      <c r="B3" s="8" t="s">
        <v>40</v>
      </c>
      <c r="C3" s="7">
        <v>43311</v>
      </c>
      <c r="D3" s="6">
        <v>5</v>
      </c>
      <c r="E3" s="6" t="s">
        <v>54</v>
      </c>
      <c r="F3" s="6" t="str">
        <f t="shared" si="0"/>
        <v>Tulsa</v>
      </c>
    </row>
    <row r="4" spans="1:6" x14ac:dyDescent="0.25">
      <c r="A4" s="6" t="s">
        <v>13</v>
      </c>
      <c r="B4" s="8" t="s">
        <v>41</v>
      </c>
      <c r="C4" s="7">
        <v>43311</v>
      </c>
      <c r="D4" s="6">
        <v>5</v>
      </c>
      <c r="E4" s="6" t="s">
        <v>54</v>
      </c>
      <c r="F4" s="6" t="str">
        <f t="shared" si="0"/>
        <v>Tulsa</v>
      </c>
    </row>
    <row r="5" spans="1:6" x14ac:dyDescent="0.25">
      <c r="A5" s="6" t="s">
        <v>21</v>
      </c>
      <c r="B5" s="8" t="s">
        <v>41</v>
      </c>
      <c r="C5" s="7">
        <v>43311</v>
      </c>
      <c r="D5" s="6">
        <v>5</v>
      </c>
      <c r="E5" s="6" t="s">
        <v>54</v>
      </c>
      <c r="F5" s="6" t="str">
        <f t="shared" si="0"/>
        <v>Tulsa</v>
      </c>
    </row>
    <row r="6" spans="1:6" x14ac:dyDescent="0.25">
      <c r="A6" s="6" t="s">
        <v>9</v>
      </c>
      <c r="B6" s="8" t="s">
        <v>42</v>
      </c>
      <c r="C6" s="7">
        <v>43311</v>
      </c>
      <c r="D6" s="6">
        <v>5</v>
      </c>
      <c r="E6" s="6" t="s">
        <v>54</v>
      </c>
      <c r="F6" s="6" t="str">
        <f t="shared" si="0"/>
        <v>Tulsa</v>
      </c>
    </row>
    <row r="7" spans="1:6" x14ac:dyDescent="0.25">
      <c r="A7" s="6" t="s">
        <v>9</v>
      </c>
      <c r="B7" s="8" t="s">
        <v>43</v>
      </c>
      <c r="C7" s="7">
        <v>43311</v>
      </c>
      <c r="D7" s="6">
        <v>5</v>
      </c>
      <c r="E7" s="6" t="s">
        <v>54</v>
      </c>
      <c r="F7" s="6" t="str">
        <f t="shared" si="0"/>
        <v>Tulsa</v>
      </c>
    </row>
    <row r="8" spans="1:6" x14ac:dyDescent="0.25">
      <c r="A8" s="6" t="s">
        <v>13</v>
      </c>
      <c r="B8" s="8" t="s">
        <v>44</v>
      </c>
      <c r="C8" s="7">
        <v>43311</v>
      </c>
      <c r="D8" s="6">
        <v>5</v>
      </c>
      <c r="E8" s="6" t="s">
        <v>54</v>
      </c>
      <c r="F8" s="6" t="str">
        <f t="shared" si="0"/>
        <v>Tulsa</v>
      </c>
    </row>
    <row r="9" spans="1:6" x14ac:dyDescent="0.25">
      <c r="A9" s="6" t="s">
        <v>25</v>
      </c>
      <c r="B9" s="8" t="s">
        <v>44</v>
      </c>
      <c r="C9" s="7">
        <v>43311</v>
      </c>
      <c r="D9" s="6">
        <v>2</v>
      </c>
      <c r="E9" s="6" t="s">
        <v>54</v>
      </c>
      <c r="F9" s="6" t="str">
        <f t="shared" si="0"/>
        <v>Tulsa</v>
      </c>
    </row>
    <row r="10" spans="1:6" x14ac:dyDescent="0.25">
      <c r="A10" s="6" t="s">
        <v>13</v>
      </c>
      <c r="B10" s="8" t="s">
        <v>45</v>
      </c>
      <c r="C10" s="7">
        <v>43311</v>
      </c>
      <c r="D10" s="6">
        <v>2</v>
      </c>
      <c r="E10" s="6" t="s">
        <v>54</v>
      </c>
      <c r="F10" s="6" t="str">
        <f t="shared" si="0"/>
        <v>Tulsa</v>
      </c>
    </row>
    <row r="11" spans="1:6" x14ac:dyDescent="0.25">
      <c r="A11" s="6" t="s">
        <v>13</v>
      </c>
      <c r="B11" s="8" t="s">
        <v>46</v>
      </c>
      <c r="C11" s="7">
        <v>43311</v>
      </c>
      <c r="D11" s="6">
        <v>2</v>
      </c>
      <c r="E11" s="6" t="s">
        <v>54</v>
      </c>
      <c r="F11" s="6" t="str">
        <f t="shared" si="0"/>
        <v>Tulsa</v>
      </c>
    </row>
    <row r="12" spans="1:6" x14ac:dyDescent="0.25">
      <c r="A12" s="6" t="s">
        <v>13</v>
      </c>
      <c r="B12" s="8" t="s">
        <v>47</v>
      </c>
      <c r="C12" s="7">
        <v>43312</v>
      </c>
      <c r="D12" s="6">
        <v>3</v>
      </c>
      <c r="E12" s="6" t="s">
        <v>54</v>
      </c>
      <c r="F12" s="6" t="str">
        <f t="shared" si="0"/>
        <v>Tulsa</v>
      </c>
    </row>
    <row r="13" spans="1:6" x14ac:dyDescent="0.25">
      <c r="A13" s="6" t="s">
        <v>25</v>
      </c>
      <c r="B13" s="8" t="s">
        <v>47</v>
      </c>
      <c r="C13" s="7">
        <v>43312</v>
      </c>
      <c r="D13" s="6">
        <v>2</v>
      </c>
      <c r="E13" s="6" t="s">
        <v>54</v>
      </c>
      <c r="F13" s="6" t="str">
        <f t="shared" si="0"/>
        <v>Tulsa</v>
      </c>
    </row>
    <row r="14" spans="1:6" x14ac:dyDescent="0.25">
      <c r="A14" s="6" t="s">
        <v>9</v>
      </c>
      <c r="B14" s="8" t="s">
        <v>48</v>
      </c>
      <c r="C14" s="7">
        <v>43312</v>
      </c>
      <c r="D14" s="6">
        <v>4</v>
      </c>
      <c r="E14" s="6" t="s">
        <v>55</v>
      </c>
      <c r="F14" s="6" t="str">
        <f t="shared" ref="F14:F20" si="1">Warehouse</f>
        <v>Tulsa</v>
      </c>
    </row>
    <row r="15" spans="1:6" x14ac:dyDescent="0.25">
      <c r="A15" s="6" t="s">
        <v>26</v>
      </c>
      <c r="B15" s="8" t="s">
        <v>48</v>
      </c>
      <c r="C15" s="7">
        <v>43312</v>
      </c>
      <c r="D15" s="6">
        <v>5</v>
      </c>
      <c r="E15" s="6" t="s">
        <v>55</v>
      </c>
      <c r="F15" s="6" t="str">
        <f t="shared" si="1"/>
        <v>Tulsa</v>
      </c>
    </row>
    <row r="16" spans="1:6" x14ac:dyDescent="0.25">
      <c r="A16" s="6" t="s">
        <v>13</v>
      </c>
      <c r="B16" s="8" t="s">
        <v>48</v>
      </c>
      <c r="C16" s="7">
        <v>43312</v>
      </c>
      <c r="D16" s="6">
        <v>2</v>
      </c>
      <c r="E16" s="6" t="s">
        <v>55</v>
      </c>
      <c r="F16" s="6" t="str">
        <f t="shared" si="1"/>
        <v>Tulsa</v>
      </c>
    </row>
    <row r="17" spans="1:6" x14ac:dyDescent="0.25">
      <c r="A17" s="6" t="s">
        <v>13</v>
      </c>
      <c r="B17" s="8" t="s">
        <v>49</v>
      </c>
      <c r="C17" s="7">
        <v>43313</v>
      </c>
      <c r="D17" s="6">
        <v>3</v>
      </c>
      <c r="E17" s="6" t="s">
        <v>56</v>
      </c>
      <c r="F17" s="6" t="str">
        <f t="shared" si="1"/>
        <v>Tulsa</v>
      </c>
    </row>
    <row r="18" spans="1:6" x14ac:dyDescent="0.25">
      <c r="A18" s="6" t="s">
        <v>26</v>
      </c>
      <c r="B18" s="8" t="s">
        <v>49</v>
      </c>
      <c r="C18" s="7">
        <v>43313</v>
      </c>
      <c r="D18" s="6">
        <v>5</v>
      </c>
      <c r="E18" s="6" t="s">
        <v>56</v>
      </c>
      <c r="F18" s="6" t="str">
        <f t="shared" si="1"/>
        <v>Tulsa</v>
      </c>
    </row>
    <row r="19" spans="1:6" x14ac:dyDescent="0.25">
      <c r="A19" s="6" t="s">
        <v>13</v>
      </c>
      <c r="B19" s="8" t="s">
        <v>50</v>
      </c>
      <c r="C19" s="7">
        <v>43314</v>
      </c>
      <c r="D19" s="6">
        <v>2</v>
      </c>
      <c r="E19" s="6" t="s">
        <v>57</v>
      </c>
      <c r="F19" s="6" t="str">
        <f t="shared" si="1"/>
        <v>Tulsa</v>
      </c>
    </row>
    <row r="20" spans="1:6" x14ac:dyDescent="0.25">
      <c r="A20" s="6" t="s">
        <v>25</v>
      </c>
      <c r="B20" s="8" t="s">
        <v>50</v>
      </c>
      <c r="C20" s="7">
        <v>43314</v>
      </c>
      <c r="D20" s="6">
        <v>5</v>
      </c>
      <c r="E20" s="6" t="s">
        <v>57</v>
      </c>
      <c r="F20" s="6" t="str">
        <f t="shared" si="1"/>
        <v>Tulsa</v>
      </c>
    </row>
    <row r="21" spans="1:6" x14ac:dyDescent="0.25">
      <c r="A21" s="6" t="s">
        <v>13</v>
      </c>
      <c r="B21" s="8" t="s">
        <v>51</v>
      </c>
      <c r="C21" s="7">
        <v>43314</v>
      </c>
      <c r="D21" s="6">
        <v>10</v>
      </c>
      <c r="E21" s="6" t="s">
        <v>58</v>
      </c>
      <c r="F21" s="6" t="str">
        <f>Warehouse</f>
        <v>Tulsa</v>
      </c>
    </row>
    <row r="22" spans="1:6" x14ac:dyDescent="0.25">
      <c r="A22" s="6" t="s">
        <v>9</v>
      </c>
      <c r="B22" s="8" t="s">
        <v>51</v>
      </c>
      <c r="C22" s="7">
        <v>43314</v>
      </c>
      <c r="D22" s="6">
        <v>3</v>
      </c>
      <c r="E22" s="6" t="s">
        <v>58</v>
      </c>
      <c r="F22" s="6" t="str">
        <f>Warehouse</f>
        <v>Tulsa</v>
      </c>
    </row>
  </sheetData>
  <dataConsolidate/>
  <pageMargins left="0.7" right="0.7" top="0.75" bottom="0.75" header="0.3" footer="0.3"/>
  <pageSetup orientation="portrait" horizontalDpi="4294967293" verticalDpi="4294967293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1B8D53E-F8F4-4BB1-A834-BD1EE82B12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Receipts</vt:lpstr>
      <vt:lpstr>Pulled</vt:lpstr>
      <vt:lpstr>Shipped</vt:lpstr>
      <vt:lpstr>Pulled_Item</vt:lpstr>
      <vt:lpstr>Pulled_Lot</vt:lpstr>
      <vt:lpstr>Quantity</vt:lpstr>
      <vt:lpstr>Received</vt:lpstr>
      <vt:lpstr>Received_6409</vt:lpstr>
      <vt:lpstr>Warehouse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Morgan Bell</dc:creator>
  <cp:keywords/>
  <dc:description/>
  <cp:lastModifiedBy>Bell, Morgan</cp:lastModifiedBy>
  <cp:revision/>
  <dcterms:created xsi:type="dcterms:W3CDTF">2018-06-08T20:39:31Z</dcterms:created>
  <dcterms:modified xsi:type="dcterms:W3CDTF">2018-08-04T14:45:12Z</dcterms:modified>
  <cp:category/>
  <cp:contentStatus/>
</cp:coreProperties>
</file>