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mericanredcross-my.sharepoint.com/personal/morgan_bell5_redcross_org/Documents/Inventory/Warehouse/"/>
    </mc:Choice>
  </mc:AlternateContent>
  <bookViews>
    <workbookView xWindow="0" yWindow="0" windowWidth="25200" windowHeight="11700" activeTab="6"/>
  </bookViews>
  <sheets>
    <sheet name="Options" sheetId="4" r:id="rId1"/>
    <sheet name="Receipts" sheetId="1" r:id="rId2"/>
    <sheet name="Pulled" sheetId="6" r:id="rId3"/>
    <sheet name="Shipped" sheetId="2" r:id="rId4"/>
    <sheet name="Item" sheetId="3" r:id="rId5"/>
    <sheet name="Lot" sheetId="7" r:id="rId6"/>
    <sheet name="Locations" sheetId="8" r:id="rId7"/>
  </sheets>
  <functionGroups builtInGroupCount="18"/>
  <externalReferences>
    <externalReference r:id="rId8"/>
  </externalReferences>
  <definedNames>
    <definedName name="_xlnm._FilterDatabase" localSheetId="3" hidden="1">Shipped!#REF!</definedName>
    <definedName name="ExternalData_1" localSheetId="4" hidden="1">Item!$A$1:$A$181</definedName>
    <definedName name="ExternalData_1" localSheetId="6" hidden="1">Locations!$A$1:$A$35</definedName>
    <definedName name="ExternalData_1" localSheetId="5" hidden="1">Lot!$A$1:$A$27</definedName>
    <definedName name="Quantity">Pulled[Quantity]</definedName>
    <definedName name="Received">Receipts!$A$1:$H$8</definedName>
    <definedName name="Received_6409">Pulled[Received 6409]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H8" i="1" s="1"/>
  <c r="G7" i="1"/>
  <c r="H7" i="1" s="1"/>
  <c r="G6" i="1"/>
  <c r="H6" i="1" s="1"/>
  <c r="G5" i="1" l="1"/>
  <c r="H5" i="1" s="1"/>
  <c r="G4" i="1"/>
  <c r="H4" i="1" s="1"/>
  <c r="G3" i="1"/>
  <c r="H3" i="1" s="1"/>
  <c r="G2" i="1"/>
  <c r="H2" i="1" s="1"/>
</calcChain>
</file>

<file path=xl/connections.xml><?xml version="1.0" encoding="utf-8"?>
<connections xmlns="http://schemas.openxmlformats.org/spreadsheetml/2006/main">
  <connection id="1" keepAlive="1" name="Query - Item" description="Connection to the 'Item' query in the workbook." type="5" refreshedVersion="6" background="1" saveData="1">
    <dbPr connection="Provider=Microsoft.Mashup.OleDb.1;Data Source=$Workbook$;Location=Item;Extended Properties=&quot;&quot;" command="SELECT * FROM [Item]"/>
  </connection>
  <connection id="2" keepAlive="1" name="Query - Locations" description="Connection to the 'Locations' query in the workbook." type="5" refreshedVersion="6" background="1" saveData="1">
    <dbPr connection="Provider=Microsoft.Mashup.OleDb.1;Data Source=$Workbook$;Location=Locations;Extended Properties=&quot;&quot;" command="SELECT * FROM [Locations]"/>
  </connection>
  <connection id="3" keepAlive="1" name="Query - Lot" description="Connection to the 'Lot' query in the workbook." type="5" refreshedVersion="6" background="1" saveData="1">
    <dbPr connection="Provider=Microsoft.Mashup.OleDb.1;Data Source=$Workbook$;Location=Lot;Extended Properties=&quot;&quot;" command="SELECT * FROM [Lot]"/>
  </connection>
</connections>
</file>

<file path=xl/sharedStrings.xml><?xml version="1.0" encoding="utf-8"?>
<sst xmlns="http://schemas.openxmlformats.org/spreadsheetml/2006/main" count="328" uniqueCount="266">
  <si>
    <t>item</t>
  </si>
  <si>
    <t>Quantity Received</t>
  </si>
  <si>
    <t>a</t>
  </si>
  <si>
    <t>Quantity Consumed</t>
  </si>
  <si>
    <t>Quantity Available</t>
  </si>
  <si>
    <t>Received 6409</t>
  </si>
  <si>
    <t>Shipped 6409</t>
  </si>
  <si>
    <t>Date</t>
  </si>
  <si>
    <t>Quantity</t>
  </si>
  <si>
    <t>b</t>
  </si>
  <si>
    <t>Item</t>
  </si>
  <si>
    <t>c</t>
  </si>
  <si>
    <t>d</t>
  </si>
  <si>
    <t>e</t>
  </si>
  <si>
    <t>f</t>
  </si>
  <si>
    <t>g</t>
  </si>
  <si>
    <t>Lot</t>
  </si>
  <si>
    <t>Location</t>
  </si>
  <si>
    <t>date received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</si>
  <si>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</si>
  <si>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</si>
  <si>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</si>
  <si>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</si>
  <si>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</si>
  <si>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</si>
  <si>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</si>
  <si>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</si>
  <si>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</si>
  <si>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</si>
  <si>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</si>
  <si>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</si>
  <si>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</si>
  <si>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</si>
  <si>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</si>
  <si>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</si>
  <si>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</si>
  <si>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</si>
  <si>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</t>
  </si>
  <si>
    <t>Receipt Options</t>
  </si>
  <si>
    <t>Ship Options</t>
  </si>
  <si>
    <t>Receipt 6409</t>
  </si>
  <si>
    <t>2018070003</t>
  </si>
  <si>
    <t>2018070004</t>
  </si>
  <si>
    <t>Office Supplies</t>
  </si>
  <si>
    <t>Air Freshener</t>
  </si>
  <si>
    <t>All Purpose Cleaning Spray</t>
  </si>
  <si>
    <t>Bleach</t>
  </si>
  <si>
    <t>Batteries 9-Volt</t>
  </si>
  <si>
    <t>Batteries AAA</t>
  </si>
  <si>
    <t>Batteries AA</t>
  </si>
  <si>
    <t>Batteries C</t>
  </si>
  <si>
    <t>Batteries D</t>
  </si>
  <si>
    <t>Binder Clips - Large</t>
  </si>
  <si>
    <t>Binder Clips - Medium</t>
  </si>
  <si>
    <t>Binder Clips - Small</t>
  </si>
  <si>
    <t>Binder Notebook 1#</t>
  </si>
  <si>
    <t>Binder Notebook 2#</t>
  </si>
  <si>
    <t>Binder Notebook 4#</t>
  </si>
  <si>
    <t>Binder Notebook 6#</t>
  </si>
  <si>
    <t xml:space="preserve">Copy Paper </t>
  </si>
  <si>
    <t>Copy Paper Red Cross</t>
  </si>
  <si>
    <t>Disinfection Wipes</t>
  </si>
  <si>
    <t>Duct Tape</t>
  </si>
  <si>
    <t>Folders - Manilla</t>
  </si>
  <si>
    <t>Folders - Haning File</t>
  </si>
  <si>
    <t>Highlighters Yellow</t>
  </si>
  <si>
    <t>Legal Pad - White</t>
  </si>
  <si>
    <t>Legal Pad - Yellow</t>
  </si>
  <si>
    <t>Lysol</t>
  </si>
  <si>
    <t>Mr. Clean</t>
  </si>
  <si>
    <t>Packing Tape</t>
  </si>
  <si>
    <t>Paper Clips - Jumbo</t>
  </si>
  <si>
    <t>Paper Clips - Regular</t>
  </si>
  <si>
    <t>Paper Clips - Small</t>
  </si>
  <si>
    <t>Paper Towels</t>
  </si>
  <si>
    <t>Pencils - Box</t>
  </si>
  <si>
    <t>Pens - Black</t>
  </si>
  <si>
    <t>Pens - Blue</t>
  </si>
  <si>
    <t>Pens - Red</t>
  </si>
  <si>
    <t>Pin - Red Cross</t>
  </si>
  <si>
    <t>Pin - Board of Directors</t>
  </si>
  <si>
    <t>Post-it Notes - Yellow</t>
  </si>
  <si>
    <t>Red Cross Envelopes - Standard</t>
  </si>
  <si>
    <t>Red Cross Letterhead</t>
  </si>
  <si>
    <t>Red Cross Envelopes - Square</t>
  </si>
  <si>
    <t>Red Cross Stationary</t>
  </si>
  <si>
    <t>Rubber Band Assortment</t>
  </si>
  <si>
    <t>Scotch Tape - Large</t>
  </si>
  <si>
    <t>Scotch Tape - Regular</t>
  </si>
  <si>
    <t>Staples - Heavy Duty</t>
  </si>
  <si>
    <t>Staples - Regular</t>
  </si>
  <si>
    <t>Steno Pads</t>
  </si>
  <si>
    <t>Trash Bags Kitchen Size</t>
  </si>
  <si>
    <t>Trash Bags Large</t>
  </si>
  <si>
    <t>Toilet Bowl Cleaner</t>
  </si>
  <si>
    <t>Toilet Paper</t>
  </si>
  <si>
    <t>Windex</t>
  </si>
  <si>
    <t>General Snack Supplies/DCS/Events</t>
  </si>
  <si>
    <t>Candy Bar</t>
  </si>
  <si>
    <t>Coffee Creamer Packets</t>
  </si>
  <si>
    <t>Cofee Decaf</t>
  </si>
  <si>
    <t>Coffee Regular</t>
  </si>
  <si>
    <t>Cookies Variety Pack</t>
  </si>
  <si>
    <t>Crackers Variety Pack</t>
  </si>
  <si>
    <t>Gatorade/Hydrate</t>
  </si>
  <si>
    <t>Granola Bars Soft</t>
  </si>
  <si>
    <t>Granola Bars Crunchy</t>
  </si>
  <si>
    <t>Hot Chocolate Mix</t>
  </si>
  <si>
    <t>Nuts Variety Packs</t>
  </si>
  <si>
    <t>Potato Chips</t>
  </si>
  <si>
    <t>Pretzels</t>
  </si>
  <si>
    <t>Protien Bars</t>
  </si>
  <si>
    <t>Raisins</t>
  </si>
  <si>
    <t>Snack Cakes</t>
  </si>
  <si>
    <t>Sugar Packets</t>
  </si>
  <si>
    <t>Sugar Packets Aritificial</t>
  </si>
  <si>
    <t>Trial Mix</t>
  </si>
  <si>
    <t>Water</t>
  </si>
  <si>
    <t>Disaster Supplies</t>
  </si>
  <si>
    <t>Animal Crackers</t>
  </si>
  <si>
    <t>Blanket - Red Cross</t>
  </si>
  <si>
    <t>Blanket - Emergency</t>
  </si>
  <si>
    <t>Blanket - Non Standard</t>
  </si>
  <si>
    <t>Booklet - Moving Forward After Disaster</t>
  </si>
  <si>
    <t>Booklet - Moving Forward After Disaster (Spanish)</t>
  </si>
  <si>
    <t>Styrofoam Bowls</t>
  </si>
  <si>
    <t>Styrofoam Clam Shells</t>
  </si>
  <si>
    <t>Brochure - Emergency Assistance Visual Language Translator</t>
  </si>
  <si>
    <t>Brochure - Medical Visual Language Translator</t>
  </si>
  <si>
    <t>Brochure - Medical Visual Language Translator (Spanish)</t>
  </si>
  <si>
    <t>Bucket - Plastic</t>
  </si>
  <si>
    <t>Card - Disaster Service Only White PKG-50</t>
  </si>
  <si>
    <t>Card - Index Open Additional Assistance Case File PKG-50</t>
  </si>
  <si>
    <t>Cambro Drink Beverage</t>
  </si>
  <si>
    <t>Cambro Food Large</t>
  </si>
  <si>
    <t>Cambro Food Smaill</t>
  </si>
  <si>
    <t>Clean Up Kit - National Standard</t>
  </si>
  <si>
    <t>Clean Up Kit - Non Standard</t>
  </si>
  <si>
    <t>Comfort Kit - National Standard Unisex</t>
  </si>
  <si>
    <t>Comfort Kit - Non Standard</t>
  </si>
  <si>
    <t>Comfort Kit - Youth</t>
  </si>
  <si>
    <t>Comfort Kit - Bag Only</t>
  </si>
  <si>
    <t>Cooolers with Wheels</t>
  </si>
  <si>
    <t>Cup - Non Standard Case</t>
  </si>
  <si>
    <t>Cup - Red Cross Logo</t>
  </si>
  <si>
    <t>DAT Kit</t>
  </si>
  <si>
    <t>Forks - Plastic</t>
  </si>
  <si>
    <t>Form - Client Assistance Authorization Form</t>
  </si>
  <si>
    <t>Form - Client Assistance Card Charge Out Record</t>
  </si>
  <si>
    <t>Form - Daily Record Client Assistance Card Issue</t>
  </si>
  <si>
    <t>Form - Home Visit Assignment Sheet</t>
  </si>
  <si>
    <t>Form - Home Visit Note Pad</t>
  </si>
  <si>
    <t>Flash Light with AA Cell Batteries</t>
  </si>
  <si>
    <t>Flash Light with AAA Batteries</t>
  </si>
  <si>
    <t>Flash Light with C Batteries</t>
  </si>
  <si>
    <t>Flash Light with D Batteries</t>
  </si>
  <si>
    <t>Flash Light with No Batteries</t>
  </si>
  <si>
    <t>Easel Flip Board</t>
  </si>
  <si>
    <t>Flood Kits</t>
  </si>
  <si>
    <t>Gloves - Neoprene No Powder</t>
  </si>
  <si>
    <t>Gloves - Work</t>
  </si>
  <si>
    <t>Hand Sanitizer - Large</t>
  </si>
  <si>
    <t>Hand Sanitizer - Small</t>
  </si>
  <si>
    <t>Hang Tag - Disaster Relief</t>
  </si>
  <si>
    <t>Health Services Kit</t>
  </si>
  <si>
    <t>Knives - Plastic</t>
  </si>
  <si>
    <t>Kit - ID Disaster Relief Spanish</t>
  </si>
  <si>
    <t>Kit - ID Disaster Field</t>
  </si>
  <si>
    <t xml:space="preserve">Kit - Poster Shelter Information </t>
  </si>
  <si>
    <t>Kit - Poster Shelter Information (Spanish)</t>
  </si>
  <si>
    <t>Kitchen Kits</t>
  </si>
  <si>
    <t>Cambro Liner - Small</t>
  </si>
  <si>
    <t>Cambro Liner - Large</t>
  </si>
  <si>
    <t>Dust Mask</t>
  </si>
  <si>
    <t>Heater Meals</t>
  </si>
  <si>
    <t>Heater Meals - Kosher</t>
  </si>
  <si>
    <t>Napkins</t>
  </si>
  <si>
    <t>Styrofoam Plates</t>
  </si>
  <si>
    <t>Poster - This Service to Disaster Victims Provided By</t>
  </si>
  <si>
    <t>Rake - Metal</t>
  </si>
  <si>
    <t>Rake - Plastic</t>
  </si>
  <si>
    <t>Shovel Standard</t>
  </si>
  <si>
    <t>Safety Glasses/Goggles</t>
  </si>
  <si>
    <t>Shovel Snow</t>
  </si>
  <si>
    <t>Shrink Wrap Roles</t>
  </si>
  <si>
    <t>Sign - Disaster Utility Pole</t>
  </si>
  <si>
    <t>Sign - Kit DRO HQ</t>
  </si>
  <si>
    <t>Spoodle - Slotted</t>
  </si>
  <si>
    <t>Spoodle - Solid</t>
  </si>
  <si>
    <t>Spoons - plastic</t>
  </si>
  <si>
    <t>Tarp - Large</t>
  </si>
  <si>
    <t>Tarp - Medium</t>
  </si>
  <si>
    <t>Tarp - Small</t>
  </si>
  <si>
    <t>Tote Storage 20 - 30 Gallon</t>
  </si>
  <si>
    <t>Tote Storage Non Standard</t>
  </si>
  <si>
    <t>Toy - Children PlayKit</t>
  </si>
  <si>
    <t>Toy - Mickey Mouse</t>
  </si>
  <si>
    <t>Toy - Stuffed Animal</t>
  </si>
  <si>
    <t>Vest - Disaster Relief</t>
  </si>
  <si>
    <t>Hard Hat - Red Cross</t>
  </si>
  <si>
    <t>Yard Sign - Disaster Relief</t>
  </si>
  <si>
    <t>Yard Sign - Shelter</t>
  </si>
  <si>
    <t>DCS Preparedness</t>
  </si>
  <si>
    <t>PillowCase</t>
  </si>
  <si>
    <t>Pillow Case - Emergency Blankets</t>
  </si>
  <si>
    <t>Pillow Case - Felt Markers</t>
  </si>
  <si>
    <t>Pillow Case - Glow Sticks</t>
  </si>
  <si>
    <t>Pillow Case - Whistles</t>
  </si>
  <si>
    <t>Shelter Starter Kits</t>
  </si>
  <si>
    <t>STA Blitz Packs</t>
  </si>
  <si>
    <t>STA Emergency Packs</t>
  </si>
  <si>
    <t>Service to Armed Forces</t>
  </si>
  <si>
    <t>Brochure - Childrens Reconnection Workshop Flyer</t>
  </si>
  <si>
    <t>Brochure - Coping with Deployments</t>
  </si>
  <si>
    <t>Brochure - Coping with Deployments (Spanish)</t>
  </si>
  <si>
    <t>Brochure - Emergency Communication Wallet Cards</t>
  </si>
  <si>
    <t>Brochure - Family Identifiation Cards</t>
  </si>
  <si>
    <t>Brochure - Reconnection Workshops</t>
  </si>
  <si>
    <t>Brochure - Reconnection Workshops (Spanish)</t>
  </si>
  <si>
    <t>Brochures - Services to the Armed Forces</t>
  </si>
  <si>
    <t>Brochures - Support for Armed Forces and VA Medical Facilities</t>
  </si>
  <si>
    <t xml:space="preserve">Vest - SAF Blue </t>
  </si>
  <si>
    <t>Wallet Calender Cards</t>
  </si>
  <si>
    <t>expiration date</t>
  </si>
  <si>
    <t>10</t>
  </si>
  <si>
    <t>11</t>
  </si>
  <si>
    <t>Locations</t>
  </si>
  <si>
    <t>McAlester Regional Warehouse</t>
  </si>
  <si>
    <t>McAlester National Warehouse</t>
  </si>
  <si>
    <t>McAlester Regional Smoke Alarm &amp; Supplies</t>
  </si>
  <si>
    <t>McAlester Regional Pillowcases and Supplies</t>
  </si>
  <si>
    <t>Tulsa Regional Pillowcases and Supplies</t>
  </si>
  <si>
    <t>Tulsa Regional Smoke Alarm &amp; Supplies</t>
  </si>
  <si>
    <t>Tulsa Regional Warehouse</t>
  </si>
  <si>
    <t>Tulsa inside storage</t>
  </si>
  <si>
    <t>OKC inside storage</t>
  </si>
  <si>
    <t>McAlester storage</t>
  </si>
  <si>
    <t>Ardmore storage</t>
  </si>
  <si>
    <t>Pauls Valley storage</t>
  </si>
  <si>
    <t>Shawnee storage</t>
  </si>
  <si>
    <t>Altus storage</t>
  </si>
  <si>
    <t>Ft. Sill storage</t>
  </si>
  <si>
    <t>Lawton storage</t>
  </si>
  <si>
    <t>Norman storage</t>
  </si>
  <si>
    <t>Bartlesville storage</t>
  </si>
  <si>
    <t>Blackwell storage</t>
  </si>
  <si>
    <t>Muskogee storage</t>
  </si>
  <si>
    <t>Ponca City storage</t>
  </si>
  <si>
    <t>Stillwater storage</t>
  </si>
  <si>
    <t>Elk City storage</t>
  </si>
  <si>
    <t>Enid storage</t>
  </si>
  <si>
    <t>Guthrie storage</t>
  </si>
  <si>
    <t>Guymon storage</t>
  </si>
  <si>
    <t>Woodward storage</t>
  </si>
  <si>
    <t>Pauls Valley</t>
  </si>
  <si>
    <t>Elk City Donated Storage Site</t>
  </si>
  <si>
    <t>Lawton Donated Storage Site</t>
  </si>
  <si>
    <t>Pryor storage</t>
  </si>
  <si>
    <t>Stillwater offsite storage</t>
  </si>
  <si>
    <t>Partner Locations</t>
  </si>
  <si>
    <t>2018070001</t>
  </si>
  <si>
    <t>2018070002</t>
  </si>
  <si>
    <t>15</t>
  </si>
  <si>
    <t>9</t>
  </si>
  <si>
    <t>2018070005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</si>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</sst>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/>
    <xf numFmtId="0" fontId="0" fillId="2" borderId="0" xfId="0" applyFill="1"/>
    <xf numFmtId="49" fontId="0" fillId="0" borderId="0" xfId="0" applyNumberFormat="1" applyAlignment="1">
      <alignment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30" formatCode="@"/>
    </dxf>
    <dxf>
      <numFmt numFmtId="19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3</xdr:row>
          <xdr:rowOff>152400</xdr:rowOff>
        </xdr:from>
        <xdr:to>
          <xdr:col>9</xdr:col>
          <xdr:colOff>552450</xdr:colOff>
          <xdr:row>6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Manage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161925</xdr:rowOff>
        </xdr:from>
        <xdr:to>
          <xdr:col>9</xdr:col>
          <xdr:colOff>600075</xdr:colOff>
          <xdr:row>11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Retrieve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4</xdr:col>
          <xdr:colOff>0</xdr:colOff>
          <xdr:row>6</xdr:row>
          <xdr:rowOff>28575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Receive Receipt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8</xdr:row>
          <xdr:rowOff>180975</xdr:rowOff>
        </xdr:from>
        <xdr:to>
          <xdr:col>3</xdr:col>
          <xdr:colOff>590550</xdr:colOff>
          <xdr:row>11</xdr:row>
          <xdr:rowOff>28575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Retrieve Receipt Order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morgan_bell5_redcross_org/Documents/Inventory/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t"/>
    </sheet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Item" tableColumnId="2"/>
    </queryTableFields>
  </queryTableRefresh>
</queryTable>
</file>

<file path=xl/queryTables/queryTable2.xml><?xml version="1.0" encoding="utf-8"?>
<queryTable xmlns="http://schemas.openxmlformats.org/spreadsheetml/2006/main" name="ExternalData_1" connectionId="3" autoFormatId="16" applyNumberFormats="0" applyBorderFormats="0" applyFontFormats="0" applyPatternFormats="0" applyAlignmentFormats="0" applyWidthHeightFormats="0">
  <queryTableRefresh nextId="2">
    <queryTableFields count="1">
      <queryTableField id="1" name="Lot" tableColumnId="2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Locations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1" displayName="Table1" ref="A1:H8" totalsRowShown="0" headerRowDxfId="14">
  <autoFilter ref="A1:H8"/>
  <tableColumns count="8">
    <tableColumn id="1" name="item"/>
    <tableColumn id="2" name="date received" dataDxfId="13"/>
    <tableColumn id="3" name="expiration date" dataDxfId="12"/>
    <tableColumn id="4" name="Quantity Received"/>
    <tableColumn id="5" name="Received 6409"/>
    <tableColumn id="8" name="Lot"/>
    <tableColumn id="6" name="Quantity Consumed" dataDxfId="11">
      <calculatedColumnFormula>SUMIF(Received_6409,E2,Quantity)</calculatedColumnFormula>
    </tableColumn>
    <tableColumn id="7" name="Quantity Available">
      <calculatedColumnFormula>D2-G2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K1:K6" totalsRowShown="0">
  <autoFilter ref="K1:K6"/>
  <tableColumns count="1">
    <tableColumn id="1" name="Receipt 640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ulled" displayName="Pulled" ref="A1:F8" totalsRowShown="0" headerRowDxfId="10">
  <autoFilter ref="A1:F8"/>
  <tableColumns count="6">
    <tableColumn id="1" name="item" dataDxfId="9"/>
    <tableColumn id="2" name="Received 6409" dataDxfId="8"/>
    <tableColumn id="6" name="Lot" dataDxfId="7"/>
    <tableColumn id="3" name="Shipped 6409" dataDxfId="6"/>
    <tableColumn id="4" name="Date" dataDxfId="5"/>
    <tableColumn id="5" name="Quant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Shipped" displayName="Shipped" ref="A1:E8" totalsRowShown="0">
  <autoFilter ref="A1:E8"/>
  <tableColumns count="5">
    <tableColumn id="1" name="Item"/>
    <tableColumn id="2" name="Shipped 6409" dataDxfId="4"/>
    <tableColumn id="3" name="Date" dataDxfId="3"/>
    <tableColumn id="4" name="Quantity"/>
    <tableColumn id="5" name="Loca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Item" displayName="Item" ref="A1:A181" tableType="queryTable" totalsRowShown="0">
  <autoFilter ref="A1:A181"/>
  <tableColumns count="1">
    <tableColumn id="2" uniqueName="2" name="Item" queryTableFieldId="1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5" name="Lot" displayName="Lot" ref="A1:A27" tableType="queryTable" totalsRowShown="0">
  <autoFilter ref="A1:A27"/>
  <tableColumns count="1">
    <tableColumn id="2" uniqueName="2" name="Lot" queryTableFieldId="1" dataDxf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6" name="Locations" displayName="Locations" ref="A1:A35" tableType="queryTable" totalsRowShown="0">
  <autoFilter ref="A1:A35"/>
  <tableColumns count="1">
    <tableColumn id="2" uniqueName="2" name="Locations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J2"/>
  <sheetViews>
    <sheetView workbookViewId="0">
      <selection activeCell="I17" sqref="I17"/>
    </sheetView>
  </sheetViews>
  <sheetFormatPr defaultRowHeight="15" x14ac:dyDescent="0.25"/>
  <cols>
    <col min="6" max="6" width="9.140625" style="7"/>
  </cols>
  <sheetData>
    <row r="2" spans="2:10" ht="18.75" x14ac:dyDescent="0.3">
      <c r="B2" s="11" t="s">
        <v>38</v>
      </c>
      <c r="C2" s="11"/>
      <c r="D2" s="11"/>
      <c r="H2" s="11" t="s">
        <v>39</v>
      </c>
      <c r="I2" s="11"/>
      <c r="J2" s="11"/>
    </row>
  </sheetData>
  <mergeCells count="2">
    <mergeCell ref="B2:D2"/>
    <mergeCell ref="H2:J2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howList">
                <anchor moveWithCells="1" sizeWithCells="1">
                  <from>
                    <xdr:col>6</xdr:col>
                    <xdr:colOff>581025</xdr:colOff>
                    <xdr:row>3</xdr:row>
                    <xdr:rowOff>152400</xdr:rowOff>
                  </from>
                  <to>
                    <xdr:col>9</xdr:col>
                    <xdr:colOff>552450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estClass">
                <anchor moveWithCells="1" sizeWithCells="1">
                  <from>
                    <xdr:col>7</xdr:col>
                    <xdr:colOff>19050</xdr:colOff>
                    <xdr:row>8</xdr:row>
                    <xdr:rowOff>161925</xdr:rowOff>
                  </from>
                  <to>
                    <xdr:col>9</xdr:col>
                    <xdr:colOff>600075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Hello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4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Hello">
                <anchor moveWithCells="1" sizeWithCells="1">
                  <from>
                    <xdr:col>0</xdr:col>
                    <xdr:colOff>600075</xdr:colOff>
                    <xdr:row>8</xdr:row>
                    <xdr:rowOff>180975</xdr:rowOff>
                  </from>
                  <to>
                    <xdr:col>3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"/>
  <sheetViews>
    <sheetView workbookViewId="0">
      <selection activeCell="H8" sqref="H8"/>
    </sheetView>
  </sheetViews>
  <sheetFormatPr defaultRowHeight="15" x14ac:dyDescent="0.25"/>
  <cols>
    <col min="1" max="1" width="25" bestFit="1" customWidth="1"/>
    <col min="2" max="2" width="10.85546875" style="2" customWidth="1"/>
    <col min="3" max="3" width="24.7109375" style="2" bestFit="1" customWidth="1"/>
    <col min="4" max="4" width="15.28515625" customWidth="1"/>
    <col min="5" max="5" width="16.28515625" customWidth="1"/>
    <col min="6" max="6" width="15.7109375" customWidth="1"/>
    <col min="7" max="7" width="14.42578125" customWidth="1"/>
    <col min="8" max="8" width="15.42578125" customWidth="1"/>
    <col min="9" max="9" width="19.5703125" customWidth="1"/>
    <col min="11" max="11" width="14.28515625" bestFit="1" customWidth="1"/>
    <col min="12" max="12" width="15.7109375" customWidth="1"/>
    <col min="13" max="13" width="14.85546875" customWidth="1"/>
    <col min="14" max="14" width="9.7109375" bestFit="1" customWidth="1"/>
    <col min="15" max="15" width="10.85546875" customWidth="1"/>
  </cols>
  <sheetData>
    <row r="1" spans="1:11" ht="27" customHeight="1" x14ac:dyDescent="0.25">
      <c r="A1" s="1" t="s">
        <v>0</v>
      </c>
      <c r="B1" s="10" t="s">
        <v>18</v>
      </c>
      <c r="C1" s="9" t="s">
        <v>223</v>
      </c>
      <c r="D1" s="5" t="s">
        <v>1</v>
      </c>
      <c r="E1" s="4" t="s">
        <v>5</v>
      </c>
      <c r="F1" s="5" t="s">
        <v>16</v>
      </c>
      <c r="G1" s="5" t="s">
        <v>3</v>
      </c>
      <c r="H1" s="5" t="s">
        <v>4</v>
      </c>
      <c r="I1" s="1"/>
      <c r="K1" t="s">
        <v>40</v>
      </c>
    </row>
    <row r="2" spans="1:11" x14ac:dyDescent="0.25">
      <c r="A2" s="3" t="s">
        <v>44</v>
      </c>
      <c r="B2" s="2">
        <v>43191</v>
      </c>
      <c r="C2" s="2">
        <v>43647</v>
      </c>
      <c r="D2">
        <v>30</v>
      </c>
      <c r="E2">
        <v>9</v>
      </c>
      <c r="F2" t="s">
        <v>9</v>
      </c>
      <c r="G2" s="3">
        <f>SUMIF(Received_6409,E2,Quantity)</f>
        <v>10</v>
      </c>
      <c r="H2">
        <f>D2-G2</f>
        <v>20</v>
      </c>
      <c r="K2">
        <v>1</v>
      </c>
    </row>
    <row r="3" spans="1:11" x14ac:dyDescent="0.25">
      <c r="A3" t="s">
        <v>44</v>
      </c>
      <c r="B3" s="2">
        <v>43221</v>
      </c>
      <c r="C3" s="2">
        <v>43678</v>
      </c>
      <c r="D3">
        <v>40</v>
      </c>
      <c r="E3">
        <v>10</v>
      </c>
      <c r="F3" t="s">
        <v>9</v>
      </c>
      <c r="G3" s="3">
        <f>SUMIF(Received_6409,E3,Quantity)</f>
        <v>10</v>
      </c>
      <c r="H3">
        <f>D3-G3</f>
        <v>30</v>
      </c>
      <c r="K3">
        <v>2</v>
      </c>
    </row>
    <row r="4" spans="1:11" x14ac:dyDescent="0.25">
      <c r="A4" s="3" t="s">
        <v>47</v>
      </c>
      <c r="B4" s="2">
        <v>43160</v>
      </c>
      <c r="C4" s="2">
        <v>43525</v>
      </c>
      <c r="D4">
        <v>25</v>
      </c>
      <c r="E4">
        <v>11</v>
      </c>
      <c r="F4" t="s">
        <v>2</v>
      </c>
      <c r="G4" s="3">
        <f>SUMIF(Received_6409,E4,Quantity)</f>
        <v>10</v>
      </c>
      <c r="H4">
        <f>D4-G4</f>
        <v>15</v>
      </c>
      <c r="K4">
        <v>3</v>
      </c>
    </row>
    <row r="5" spans="1:11" x14ac:dyDescent="0.25">
      <c r="A5" s="3" t="s">
        <v>52</v>
      </c>
      <c r="B5" s="2">
        <v>43191</v>
      </c>
      <c r="D5">
        <v>40</v>
      </c>
      <c r="E5">
        <v>12</v>
      </c>
      <c r="F5" t="s">
        <v>11</v>
      </c>
      <c r="G5" s="3">
        <f>SUMIF(Received_6409,E5,Quantity)</f>
        <v>5</v>
      </c>
      <c r="H5">
        <f>D5-G5</f>
        <v>35</v>
      </c>
      <c r="K5">
        <v>4</v>
      </c>
    </row>
    <row r="6" spans="1:11" x14ac:dyDescent="0.25">
      <c r="A6" s="3" t="s">
        <v>55</v>
      </c>
      <c r="B6" s="2">
        <v>43221</v>
      </c>
      <c r="D6">
        <v>50</v>
      </c>
      <c r="E6">
        <v>13</v>
      </c>
      <c r="F6" t="s">
        <v>12</v>
      </c>
      <c r="G6" s="3">
        <f>SUMIF(Received_6409,E6,Quantity)</f>
        <v>0</v>
      </c>
      <c r="H6">
        <f>D6-G6</f>
        <v>50</v>
      </c>
      <c r="K6">
        <v>5</v>
      </c>
    </row>
    <row r="7" spans="1:11" x14ac:dyDescent="0.25">
      <c r="A7" s="3" t="s">
        <v>45</v>
      </c>
      <c r="B7" s="2">
        <v>43252</v>
      </c>
      <c r="D7">
        <v>40</v>
      </c>
      <c r="E7">
        <v>14</v>
      </c>
      <c r="F7" t="s">
        <v>13</v>
      </c>
      <c r="G7" s="3">
        <f>SUMIF(Received_6409,E7,Quantity)</f>
        <v>0</v>
      </c>
      <c r="H7">
        <f>D7-G7</f>
        <v>40</v>
      </c>
    </row>
    <row r="8" spans="1:11" x14ac:dyDescent="0.25">
      <c r="A8" s="3" t="s">
        <v>47</v>
      </c>
      <c r="B8" s="2">
        <v>43252</v>
      </c>
      <c r="C8" s="2">
        <v>43556</v>
      </c>
      <c r="D8">
        <v>20</v>
      </c>
      <c r="E8">
        <v>15</v>
      </c>
      <c r="F8" t="s">
        <v>12</v>
      </c>
      <c r="G8" s="3">
        <f>SUMIF(Received_6409,E8,Quantity)</f>
        <v>5</v>
      </c>
      <c r="H8">
        <f>D8-G8</f>
        <v>15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'https://americanredcross-my.sharepoint.com/personal/morgan_bell5_redcross_org/Documents/Inventory/[Lot.xlsx]Lot'!#REF!</xm:f>
          </x14:formula1>
          <xm:sqref>G2:G8</xm:sqref>
        </x14:dataValidation>
        <x14:dataValidation type="list" allowBlank="1" showInputMessage="1" showErrorMessage="1">
          <x14:formula1>
            <xm:f>Lot!$A$2:$A$27</xm:f>
          </x14:formula1>
          <xm:sqref>F1:F1048576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D4" sqref="D4"/>
    </sheetView>
  </sheetViews>
  <sheetFormatPr defaultRowHeight="15" x14ac:dyDescent="0.25"/>
  <cols>
    <col min="1" max="1" width="13.140625" bestFit="1" customWidth="1"/>
    <col min="2" max="2" width="14.85546875" customWidth="1"/>
    <col min="3" max="3" width="6" bestFit="1" customWidth="1"/>
    <col min="4" max="4" width="14.140625" style="6" customWidth="1"/>
    <col min="5" max="5" width="9.7109375" bestFit="1" customWidth="1"/>
    <col min="6" max="6" width="11" bestFit="1" customWidth="1"/>
  </cols>
  <sheetData>
    <row r="1" spans="1:6" x14ac:dyDescent="0.25">
      <c r="A1" s="8" t="s">
        <v>0</v>
      </c>
      <c r="B1" s="8" t="s">
        <v>5</v>
      </c>
      <c r="C1" s="8" t="s">
        <v>16</v>
      </c>
      <c r="D1" s="8" t="s">
        <v>6</v>
      </c>
      <c r="E1" s="1" t="s">
        <v>7</v>
      </c>
      <c r="F1" s="1" t="s">
        <v>8</v>
      </c>
    </row>
    <row r="2" spans="1:6" x14ac:dyDescent="0.25">
      <c r="A2" s="6" t="s">
        <v>44</v>
      </c>
      <c r="B2" s="6" t="s">
        <v>224</v>
      </c>
      <c r="C2" s="6" t="s">
        <v>9</v>
      </c>
      <c r="D2" s="6" t="s">
        <v>260</v>
      </c>
      <c r="E2" s="2">
        <v>43299</v>
      </c>
      <c r="F2">
        <v>10</v>
      </c>
    </row>
    <row r="3" spans="1:6" x14ac:dyDescent="0.25">
      <c r="A3" s="6" t="s">
        <v>47</v>
      </c>
      <c r="B3" s="6" t="s">
        <v>225</v>
      </c>
      <c r="C3" s="6" t="s">
        <v>2</v>
      </c>
      <c r="D3" s="6" t="s">
        <v>261</v>
      </c>
      <c r="E3" s="2">
        <v>43299</v>
      </c>
      <c r="F3">
        <v>5</v>
      </c>
    </row>
    <row r="4" spans="1:6" x14ac:dyDescent="0.25">
      <c r="A4" s="6" t="s">
        <v>47</v>
      </c>
      <c r="B4" s="6" t="s">
        <v>262</v>
      </c>
      <c r="C4" s="6" t="s">
        <v>12</v>
      </c>
      <c r="D4" s="6" t="s">
        <v>41</v>
      </c>
      <c r="E4" s="2">
        <v>43307</v>
      </c>
      <c r="F4">
        <v>5</v>
      </c>
    </row>
    <row r="5" spans="1:6" x14ac:dyDescent="0.25">
      <c r="A5" s="6" t="s">
        <v>44</v>
      </c>
      <c r="B5" s="6" t="s">
        <v>263</v>
      </c>
      <c r="C5" s="6" t="s">
        <v>9</v>
      </c>
      <c r="D5" s="6" t="s">
        <v>42</v>
      </c>
      <c r="E5" s="2">
        <v>43307</v>
      </c>
      <c r="F5">
        <v>5</v>
      </c>
    </row>
    <row r="6" spans="1:6" x14ac:dyDescent="0.25">
      <c r="A6" s="6" t="s">
        <v>47</v>
      </c>
      <c r="B6" s="6" t="s">
        <v>225</v>
      </c>
      <c r="C6" s="6" t="s">
        <v>2</v>
      </c>
      <c r="D6" s="6" t="s">
        <v>42</v>
      </c>
      <c r="E6" s="2">
        <v>43307</v>
      </c>
      <c r="F6">
        <v>5</v>
      </c>
    </row>
    <row r="7" spans="1:6" x14ac:dyDescent="0.25">
      <c r="A7" s="6" t="s">
        <v>44</v>
      </c>
      <c r="B7" s="6" t="s">
        <v>263</v>
      </c>
      <c r="C7" s="6" t="s">
        <v>9</v>
      </c>
      <c r="D7" s="6" t="s">
        <v>264</v>
      </c>
      <c r="E7" s="2">
        <v>43307</v>
      </c>
      <c r="F7">
        <v>5</v>
      </c>
    </row>
    <row r="8" spans="1:6" x14ac:dyDescent="0.25">
      <c r="A8" s="6" t="s">
        <v>52</v>
      </c>
      <c r="B8" s="6" t="s">
        <v>265</v>
      </c>
      <c r="C8" s="6" t="s">
        <v>11</v>
      </c>
      <c r="D8" s="6" t="s">
        <v>264</v>
      </c>
      <c r="E8" s="2">
        <v>43307</v>
      </c>
      <c r="F8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C15" sqref="C15"/>
    </sheetView>
  </sheetViews>
  <sheetFormatPr defaultRowHeight="15" x14ac:dyDescent="0.25"/>
  <cols>
    <col min="1" max="1" width="18.140625" bestFit="1" customWidth="1"/>
    <col min="2" max="2" width="14.85546875" style="6" customWidth="1"/>
    <col min="3" max="3" width="9.7109375" bestFit="1" customWidth="1"/>
    <col min="4" max="4" width="10.85546875" customWidth="1"/>
    <col min="5" max="5" width="29.28515625" bestFit="1" customWidth="1"/>
    <col min="6" max="6" width="15" bestFit="1" customWidth="1"/>
    <col min="10" max="10" width="11" bestFit="1" customWidth="1"/>
  </cols>
  <sheetData>
    <row r="1" spans="1:5" x14ac:dyDescent="0.25">
      <c r="A1" t="s">
        <v>10</v>
      </c>
      <c r="B1" s="8" t="s">
        <v>6</v>
      </c>
      <c r="C1" t="s">
        <v>7</v>
      </c>
      <c r="D1" t="s">
        <v>8</v>
      </c>
      <c r="E1" t="s">
        <v>17</v>
      </c>
    </row>
    <row r="2" spans="1:5" x14ac:dyDescent="0.25">
      <c r="A2" t="s">
        <v>44</v>
      </c>
      <c r="B2" s="6" t="s">
        <v>260</v>
      </c>
      <c r="C2" s="2">
        <v>43299</v>
      </c>
      <c r="D2">
        <v>10</v>
      </c>
      <c r="E2" s="3" t="s">
        <v>237</v>
      </c>
    </row>
    <row r="3" spans="1:5" x14ac:dyDescent="0.25">
      <c r="A3" t="s">
        <v>47</v>
      </c>
      <c r="B3" s="6" t="s">
        <v>261</v>
      </c>
      <c r="C3" s="2">
        <v>43299</v>
      </c>
      <c r="D3">
        <v>5</v>
      </c>
      <c r="E3" s="3" t="s">
        <v>247</v>
      </c>
    </row>
    <row r="4" spans="1:5" x14ac:dyDescent="0.25">
      <c r="A4" t="s">
        <v>47</v>
      </c>
      <c r="B4" s="6" t="s">
        <v>41</v>
      </c>
      <c r="C4" s="2">
        <v>43307</v>
      </c>
      <c r="D4">
        <v>5</v>
      </c>
      <c r="E4" t="s">
        <v>227</v>
      </c>
    </row>
    <row r="5" spans="1:5" x14ac:dyDescent="0.25">
      <c r="A5" t="s">
        <v>44</v>
      </c>
      <c r="B5" s="6" t="s">
        <v>42</v>
      </c>
      <c r="C5" s="2">
        <v>43307</v>
      </c>
      <c r="D5">
        <v>5</v>
      </c>
      <c r="E5" t="s">
        <v>234</v>
      </c>
    </row>
    <row r="6" spans="1:5" x14ac:dyDescent="0.25">
      <c r="A6" t="s">
        <v>47</v>
      </c>
      <c r="B6" s="6" t="s">
        <v>42</v>
      </c>
      <c r="C6" s="2">
        <v>43307</v>
      </c>
      <c r="D6">
        <v>5</v>
      </c>
      <c r="E6" t="s">
        <v>234</v>
      </c>
    </row>
    <row r="7" spans="1:5" x14ac:dyDescent="0.25">
      <c r="A7" t="s">
        <v>44</v>
      </c>
      <c r="B7" s="6" t="s">
        <v>264</v>
      </c>
      <c r="C7" s="2">
        <v>43307</v>
      </c>
      <c r="D7">
        <v>5</v>
      </c>
      <c r="E7" t="s">
        <v>241</v>
      </c>
    </row>
    <row r="8" spans="1:5" x14ac:dyDescent="0.25">
      <c r="A8" t="s">
        <v>52</v>
      </c>
      <c r="B8" s="6" t="s">
        <v>264</v>
      </c>
      <c r="C8" s="2">
        <v>43307</v>
      </c>
      <c r="D8">
        <v>5</v>
      </c>
      <c r="E8" t="s">
        <v>241</v>
      </c>
    </row>
  </sheetData>
  <dataConsolidate/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64"/>
  <sheetViews>
    <sheetView workbookViewId="0">
      <selection activeCell="A4" sqref="A4"/>
    </sheetView>
  </sheetViews>
  <sheetFormatPr defaultRowHeight="15" x14ac:dyDescent="0.25"/>
  <cols>
    <col min="1" max="1" width="58" bestFit="1" customWidth="1"/>
    <col min="2" max="2" width="58" customWidth="1"/>
    <col min="3" max="3" width="10.5703125" style="6" customWidth="1"/>
    <col min="4" max="4" width="13.5703125" style="6" customWidth="1"/>
  </cols>
  <sheetData>
    <row r="1" spans="1:4" x14ac:dyDescent="0.25">
      <c r="A1" s="3" t="s">
        <v>10</v>
      </c>
      <c r="C1"/>
      <c r="D1"/>
    </row>
    <row r="2" spans="1:4" x14ac:dyDescent="0.25">
      <c r="A2" s="3" t="s">
        <v>43</v>
      </c>
      <c r="C2"/>
      <c r="D2"/>
    </row>
    <row r="3" spans="1:4" x14ac:dyDescent="0.25">
      <c r="A3" s="3" t="s">
        <v>44</v>
      </c>
      <c r="C3"/>
      <c r="D3"/>
    </row>
    <row r="4" spans="1:4" x14ac:dyDescent="0.25">
      <c r="A4" s="3" t="s">
        <v>45</v>
      </c>
      <c r="C4"/>
      <c r="D4"/>
    </row>
    <row r="5" spans="1:4" x14ac:dyDescent="0.25">
      <c r="A5" s="3" t="s">
        <v>46</v>
      </c>
      <c r="C5"/>
      <c r="D5"/>
    </row>
    <row r="6" spans="1:4" x14ac:dyDescent="0.25">
      <c r="A6" s="3" t="s">
        <v>47</v>
      </c>
      <c r="C6"/>
      <c r="D6"/>
    </row>
    <row r="7" spans="1:4" x14ac:dyDescent="0.25">
      <c r="A7" s="3" t="s">
        <v>48</v>
      </c>
      <c r="C7"/>
      <c r="D7"/>
    </row>
    <row r="8" spans="1:4" x14ac:dyDescent="0.25">
      <c r="A8" s="3" t="s">
        <v>49</v>
      </c>
      <c r="C8"/>
      <c r="D8"/>
    </row>
    <row r="9" spans="1:4" x14ac:dyDescent="0.25">
      <c r="A9" s="3" t="s">
        <v>50</v>
      </c>
      <c r="C9"/>
      <c r="D9"/>
    </row>
    <row r="10" spans="1:4" x14ac:dyDescent="0.25">
      <c r="A10" s="3" t="s">
        <v>51</v>
      </c>
      <c r="C10"/>
      <c r="D10"/>
    </row>
    <row r="11" spans="1:4" x14ac:dyDescent="0.25">
      <c r="A11" s="3" t="s">
        <v>52</v>
      </c>
      <c r="C11"/>
      <c r="D11"/>
    </row>
    <row r="12" spans="1:4" x14ac:dyDescent="0.25">
      <c r="A12" s="3" t="s">
        <v>53</v>
      </c>
      <c r="C12"/>
      <c r="D12"/>
    </row>
    <row r="13" spans="1:4" x14ac:dyDescent="0.25">
      <c r="A13" s="3" t="s">
        <v>54</v>
      </c>
      <c r="C13"/>
      <c r="D13"/>
    </row>
    <row r="14" spans="1:4" x14ac:dyDescent="0.25">
      <c r="A14" s="3" t="s">
        <v>55</v>
      </c>
      <c r="C14"/>
      <c r="D14"/>
    </row>
    <row r="15" spans="1:4" x14ac:dyDescent="0.25">
      <c r="A15" s="3" t="s">
        <v>56</v>
      </c>
      <c r="C15"/>
      <c r="D15"/>
    </row>
    <row r="16" spans="1:4" x14ac:dyDescent="0.25">
      <c r="A16" s="3" t="s">
        <v>57</v>
      </c>
      <c r="C16"/>
      <c r="D16"/>
    </row>
    <row r="17" spans="1:4" x14ac:dyDescent="0.25">
      <c r="A17" s="3" t="s">
        <v>58</v>
      </c>
      <c r="C17"/>
      <c r="D17"/>
    </row>
    <row r="18" spans="1:4" x14ac:dyDescent="0.25">
      <c r="A18" s="3" t="s">
        <v>59</v>
      </c>
      <c r="C18"/>
      <c r="D18"/>
    </row>
    <row r="19" spans="1:4" x14ac:dyDescent="0.25">
      <c r="A19" s="3" t="s">
        <v>60</v>
      </c>
      <c r="C19"/>
      <c r="D19"/>
    </row>
    <row r="20" spans="1:4" x14ac:dyDescent="0.25">
      <c r="A20" s="3" t="s">
        <v>61</v>
      </c>
      <c r="C20"/>
      <c r="D20"/>
    </row>
    <row r="21" spans="1:4" x14ac:dyDescent="0.25">
      <c r="A21" s="3" t="s">
        <v>62</v>
      </c>
      <c r="C21"/>
      <c r="D21"/>
    </row>
    <row r="22" spans="1:4" x14ac:dyDescent="0.25">
      <c r="A22" s="3" t="s">
        <v>63</v>
      </c>
      <c r="C22"/>
      <c r="D22"/>
    </row>
    <row r="23" spans="1:4" x14ac:dyDescent="0.25">
      <c r="A23" s="3" t="s">
        <v>64</v>
      </c>
      <c r="C23"/>
      <c r="D23"/>
    </row>
    <row r="24" spans="1:4" x14ac:dyDescent="0.25">
      <c r="A24" s="3" t="s">
        <v>65</v>
      </c>
      <c r="C24"/>
      <c r="D24"/>
    </row>
    <row r="25" spans="1:4" x14ac:dyDescent="0.25">
      <c r="A25" s="3" t="s">
        <v>66</v>
      </c>
      <c r="C25"/>
      <c r="D25"/>
    </row>
    <row r="26" spans="1:4" x14ac:dyDescent="0.25">
      <c r="A26" s="3" t="s">
        <v>67</v>
      </c>
      <c r="C26"/>
      <c r="D26"/>
    </row>
    <row r="27" spans="1:4" x14ac:dyDescent="0.25">
      <c r="A27" s="3" t="s">
        <v>68</v>
      </c>
      <c r="C27"/>
      <c r="D27"/>
    </row>
    <row r="28" spans="1:4" x14ac:dyDescent="0.25">
      <c r="A28" s="3" t="s">
        <v>69</v>
      </c>
      <c r="C28"/>
      <c r="D28"/>
    </row>
    <row r="29" spans="1:4" x14ac:dyDescent="0.25">
      <c r="A29" s="3" t="s">
        <v>70</v>
      </c>
      <c r="C29"/>
      <c r="D29"/>
    </row>
    <row r="30" spans="1:4" x14ac:dyDescent="0.25">
      <c r="A30" s="3" t="s">
        <v>71</v>
      </c>
      <c r="C30"/>
      <c r="D30"/>
    </row>
    <row r="31" spans="1:4" x14ac:dyDescent="0.25">
      <c r="A31" s="3" t="s">
        <v>72</v>
      </c>
      <c r="C31"/>
      <c r="D31"/>
    </row>
    <row r="32" spans="1:4" x14ac:dyDescent="0.25">
      <c r="A32" s="3" t="s">
        <v>73</v>
      </c>
      <c r="C32"/>
      <c r="D32"/>
    </row>
    <row r="33" spans="1:4" x14ac:dyDescent="0.25">
      <c r="A33" s="3" t="s">
        <v>74</v>
      </c>
      <c r="C33"/>
      <c r="D33"/>
    </row>
    <row r="34" spans="1:4" x14ac:dyDescent="0.25">
      <c r="A34" s="3" t="s">
        <v>75</v>
      </c>
      <c r="C34"/>
      <c r="D34"/>
    </row>
    <row r="35" spans="1:4" x14ac:dyDescent="0.25">
      <c r="A35" s="3" t="s">
        <v>76</v>
      </c>
      <c r="C35"/>
      <c r="D35"/>
    </row>
    <row r="36" spans="1:4" x14ac:dyDescent="0.25">
      <c r="A36" s="3" t="s">
        <v>77</v>
      </c>
      <c r="C36"/>
      <c r="D36"/>
    </row>
    <row r="37" spans="1:4" x14ac:dyDescent="0.25">
      <c r="A37" s="3" t="s">
        <v>78</v>
      </c>
      <c r="C37"/>
      <c r="D37"/>
    </row>
    <row r="38" spans="1:4" x14ac:dyDescent="0.25">
      <c r="A38" s="3" t="s">
        <v>79</v>
      </c>
      <c r="C38"/>
      <c r="D38"/>
    </row>
    <row r="39" spans="1:4" x14ac:dyDescent="0.25">
      <c r="A39" s="3" t="s">
        <v>80</v>
      </c>
      <c r="C39"/>
      <c r="D39"/>
    </row>
    <row r="40" spans="1:4" x14ac:dyDescent="0.25">
      <c r="A40" s="3" t="s">
        <v>81</v>
      </c>
      <c r="C40"/>
      <c r="D40"/>
    </row>
    <row r="41" spans="1:4" x14ac:dyDescent="0.25">
      <c r="A41" s="3" t="s">
        <v>82</v>
      </c>
      <c r="C41"/>
      <c r="D41"/>
    </row>
    <row r="42" spans="1:4" x14ac:dyDescent="0.25">
      <c r="A42" s="3" t="s">
        <v>83</v>
      </c>
      <c r="C42"/>
      <c r="D42"/>
    </row>
    <row r="43" spans="1:4" x14ac:dyDescent="0.25">
      <c r="A43" s="3" t="s">
        <v>84</v>
      </c>
      <c r="C43"/>
      <c r="D43"/>
    </row>
    <row r="44" spans="1:4" x14ac:dyDescent="0.25">
      <c r="A44" s="3" t="s">
        <v>85</v>
      </c>
      <c r="C44"/>
      <c r="D44"/>
    </row>
    <row r="45" spans="1:4" x14ac:dyDescent="0.25">
      <c r="A45" s="3" t="s">
        <v>86</v>
      </c>
      <c r="C45"/>
      <c r="D45"/>
    </row>
    <row r="46" spans="1:4" x14ac:dyDescent="0.25">
      <c r="A46" s="3" t="s">
        <v>87</v>
      </c>
      <c r="C46"/>
      <c r="D46"/>
    </row>
    <row r="47" spans="1:4" x14ac:dyDescent="0.25">
      <c r="A47" s="3" t="s">
        <v>88</v>
      </c>
      <c r="C47"/>
      <c r="D47"/>
    </row>
    <row r="48" spans="1:4" x14ac:dyDescent="0.25">
      <c r="A48" s="3" t="s">
        <v>89</v>
      </c>
      <c r="C48"/>
      <c r="D48"/>
    </row>
    <row r="49" spans="1:4" x14ac:dyDescent="0.25">
      <c r="A49" s="3" t="s">
        <v>90</v>
      </c>
      <c r="C49"/>
      <c r="D49"/>
    </row>
    <row r="50" spans="1:4" x14ac:dyDescent="0.25">
      <c r="A50" s="3" t="s">
        <v>91</v>
      </c>
      <c r="C50"/>
      <c r="D50"/>
    </row>
    <row r="51" spans="1:4" x14ac:dyDescent="0.25">
      <c r="A51" s="3" t="s">
        <v>92</v>
      </c>
      <c r="C51"/>
      <c r="D51"/>
    </row>
    <row r="52" spans="1:4" x14ac:dyDescent="0.25">
      <c r="A52" s="3" t="s">
        <v>93</v>
      </c>
      <c r="C52"/>
      <c r="D52"/>
    </row>
    <row r="53" spans="1:4" x14ac:dyDescent="0.25">
      <c r="A53" s="3" t="s">
        <v>94</v>
      </c>
      <c r="C53"/>
      <c r="D53"/>
    </row>
    <row r="54" spans="1:4" x14ac:dyDescent="0.25">
      <c r="A54" s="3" t="s">
        <v>95</v>
      </c>
      <c r="C54"/>
      <c r="D54"/>
    </row>
    <row r="55" spans="1:4" x14ac:dyDescent="0.25">
      <c r="A55" s="3" t="s">
        <v>96</v>
      </c>
      <c r="C55"/>
      <c r="D55"/>
    </row>
    <row r="56" spans="1:4" x14ac:dyDescent="0.25">
      <c r="A56" s="3" t="s">
        <v>97</v>
      </c>
      <c r="C56"/>
      <c r="D56"/>
    </row>
    <row r="57" spans="1:4" x14ac:dyDescent="0.25">
      <c r="A57" s="3" t="s">
        <v>98</v>
      </c>
      <c r="C57"/>
      <c r="D57"/>
    </row>
    <row r="58" spans="1:4" x14ac:dyDescent="0.25">
      <c r="A58" s="3" t="s">
        <v>99</v>
      </c>
      <c r="C58"/>
      <c r="D58"/>
    </row>
    <row r="59" spans="1:4" x14ac:dyDescent="0.25">
      <c r="A59" s="3" t="s">
        <v>100</v>
      </c>
      <c r="C59"/>
      <c r="D59"/>
    </row>
    <row r="60" spans="1:4" x14ac:dyDescent="0.25">
      <c r="A60" s="3" t="s">
        <v>101</v>
      </c>
      <c r="C60"/>
      <c r="D60"/>
    </row>
    <row r="61" spans="1:4" x14ac:dyDescent="0.25">
      <c r="A61" s="3" t="s">
        <v>102</v>
      </c>
      <c r="C61"/>
      <c r="D61"/>
    </row>
    <row r="62" spans="1:4" x14ac:dyDescent="0.25">
      <c r="A62" s="3" t="s">
        <v>103</v>
      </c>
      <c r="C62"/>
      <c r="D62"/>
    </row>
    <row r="63" spans="1:4" x14ac:dyDescent="0.25">
      <c r="A63" s="3" t="s">
        <v>104</v>
      </c>
      <c r="C63"/>
      <c r="D63"/>
    </row>
    <row r="64" spans="1:4" x14ac:dyDescent="0.25">
      <c r="A64" s="3" t="s">
        <v>105</v>
      </c>
      <c r="C64"/>
      <c r="D64"/>
    </row>
    <row r="65" spans="1:4" x14ac:dyDescent="0.25">
      <c r="A65" s="3" t="s">
        <v>106</v>
      </c>
      <c r="C65"/>
      <c r="D65"/>
    </row>
    <row r="66" spans="1:4" x14ac:dyDescent="0.25">
      <c r="A66" s="3" t="s">
        <v>107</v>
      </c>
      <c r="C66"/>
      <c r="D66"/>
    </row>
    <row r="67" spans="1:4" x14ac:dyDescent="0.25">
      <c r="A67" s="3" t="s">
        <v>108</v>
      </c>
      <c r="C67"/>
      <c r="D67"/>
    </row>
    <row r="68" spans="1:4" x14ac:dyDescent="0.25">
      <c r="A68" s="3" t="s">
        <v>109</v>
      </c>
      <c r="C68"/>
      <c r="D68"/>
    </row>
    <row r="69" spans="1:4" x14ac:dyDescent="0.25">
      <c r="A69" s="3" t="s">
        <v>110</v>
      </c>
      <c r="C69"/>
      <c r="D69"/>
    </row>
    <row r="70" spans="1:4" x14ac:dyDescent="0.25">
      <c r="A70" s="3" t="s">
        <v>111</v>
      </c>
      <c r="C70"/>
      <c r="D70"/>
    </row>
    <row r="71" spans="1:4" x14ac:dyDescent="0.25">
      <c r="A71" s="3" t="s">
        <v>112</v>
      </c>
      <c r="C71"/>
      <c r="D71"/>
    </row>
    <row r="72" spans="1:4" x14ac:dyDescent="0.25">
      <c r="A72" s="3" t="s">
        <v>113</v>
      </c>
      <c r="C72"/>
      <c r="D72"/>
    </row>
    <row r="73" spans="1:4" x14ac:dyDescent="0.25">
      <c r="A73" s="3" t="s">
        <v>114</v>
      </c>
      <c r="C73"/>
      <c r="D73"/>
    </row>
    <row r="74" spans="1:4" x14ac:dyDescent="0.25">
      <c r="A74" s="3" t="s">
        <v>115</v>
      </c>
      <c r="C74"/>
      <c r="D74"/>
    </row>
    <row r="75" spans="1:4" x14ac:dyDescent="0.25">
      <c r="A75" s="3" t="s">
        <v>116</v>
      </c>
      <c r="C75"/>
      <c r="D75"/>
    </row>
    <row r="76" spans="1:4" x14ac:dyDescent="0.25">
      <c r="A76" s="3" t="s">
        <v>117</v>
      </c>
      <c r="C76"/>
      <c r="D76"/>
    </row>
    <row r="77" spans="1:4" x14ac:dyDescent="0.25">
      <c r="A77" s="3" t="s">
        <v>118</v>
      </c>
      <c r="C77"/>
      <c r="D77"/>
    </row>
    <row r="78" spans="1:4" x14ac:dyDescent="0.25">
      <c r="A78" s="3" t="s">
        <v>119</v>
      </c>
      <c r="C78"/>
      <c r="D78"/>
    </row>
    <row r="79" spans="1:4" x14ac:dyDescent="0.25">
      <c r="A79" s="3" t="s">
        <v>120</v>
      </c>
      <c r="C79"/>
      <c r="D79"/>
    </row>
    <row r="80" spans="1:4" x14ac:dyDescent="0.25">
      <c r="A80" s="3" t="s">
        <v>121</v>
      </c>
      <c r="C80"/>
      <c r="D80"/>
    </row>
    <row r="81" spans="1:4" x14ac:dyDescent="0.25">
      <c r="A81" s="3" t="s">
        <v>122</v>
      </c>
      <c r="C81"/>
      <c r="D81"/>
    </row>
    <row r="82" spans="1:4" x14ac:dyDescent="0.25">
      <c r="A82" s="3" t="s">
        <v>123</v>
      </c>
      <c r="C82"/>
      <c r="D82"/>
    </row>
    <row r="83" spans="1:4" x14ac:dyDescent="0.25">
      <c r="A83" s="3" t="s">
        <v>124</v>
      </c>
      <c r="C83"/>
      <c r="D83"/>
    </row>
    <row r="84" spans="1:4" x14ac:dyDescent="0.25">
      <c r="A84" s="3" t="s">
        <v>125</v>
      </c>
      <c r="C84"/>
      <c r="D84"/>
    </row>
    <row r="85" spans="1:4" x14ac:dyDescent="0.25">
      <c r="A85" s="3" t="s">
        <v>126</v>
      </c>
      <c r="C85"/>
      <c r="D85"/>
    </row>
    <row r="86" spans="1:4" x14ac:dyDescent="0.25">
      <c r="A86" s="3" t="s">
        <v>127</v>
      </c>
      <c r="C86"/>
      <c r="D86"/>
    </row>
    <row r="87" spans="1:4" x14ac:dyDescent="0.25">
      <c r="A87" s="3" t="s">
        <v>128</v>
      </c>
      <c r="C87"/>
      <c r="D87"/>
    </row>
    <row r="88" spans="1:4" x14ac:dyDescent="0.25">
      <c r="A88" s="3" t="s">
        <v>129</v>
      </c>
      <c r="C88"/>
      <c r="D88"/>
    </row>
    <row r="89" spans="1:4" x14ac:dyDescent="0.25">
      <c r="A89" s="3" t="s">
        <v>130</v>
      </c>
      <c r="C89"/>
      <c r="D89"/>
    </row>
    <row r="90" spans="1:4" x14ac:dyDescent="0.25">
      <c r="A90" s="3" t="s">
        <v>131</v>
      </c>
      <c r="C90"/>
      <c r="D90"/>
    </row>
    <row r="91" spans="1:4" x14ac:dyDescent="0.25">
      <c r="A91" s="3" t="s">
        <v>132</v>
      </c>
      <c r="C91"/>
      <c r="D91"/>
    </row>
    <row r="92" spans="1:4" x14ac:dyDescent="0.25">
      <c r="A92" s="3" t="s">
        <v>133</v>
      </c>
      <c r="C92"/>
      <c r="D92"/>
    </row>
    <row r="93" spans="1:4" x14ac:dyDescent="0.25">
      <c r="A93" s="3" t="s">
        <v>134</v>
      </c>
      <c r="C93"/>
      <c r="D93"/>
    </row>
    <row r="94" spans="1:4" x14ac:dyDescent="0.25">
      <c r="A94" s="3" t="s">
        <v>135</v>
      </c>
      <c r="C94"/>
      <c r="D94"/>
    </row>
    <row r="95" spans="1:4" x14ac:dyDescent="0.25">
      <c r="A95" s="3" t="s">
        <v>136</v>
      </c>
      <c r="C95"/>
      <c r="D95"/>
    </row>
    <row r="96" spans="1:4" x14ac:dyDescent="0.25">
      <c r="A96" s="3" t="s">
        <v>137</v>
      </c>
      <c r="C96"/>
      <c r="D96"/>
    </row>
    <row r="97" spans="1:4" x14ac:dyDescent="0.25">
      <c r="A97" s="3" t="s">
        <v>138</v>
      </c>
      <c r="C97"/>
      <c r="D97"/>
    </row>
    <row r="98" spans="1:4" x14ac:dyDescent="0.25">
      <c r="A98" s="3" t="s">
        <v>139</v>
      </c>
      <c r="C98"/>
      <c r="D98"/>
    </row>
    <row r="99" spans="1:4" x14ac:dyDescent="0.25">
      <c r="A99" s="3" t="s">
        <v>140</v>
      </c>
      <c r="C99"/>
      <c r="D99"/>
    </row>
    <row r="100" spans="1:4" x14ac:dyDescent="0.25">
      <c r="A100" s="3" t="s">
        <v>141</v>
      </c>
      <c r="C100"/>
      <c r="D100"/>
    </row>
    <row r="101" spans="1:4" x14ac:dyDescent="0.25">
      <c r="A101" s="3" t="s">
        <v>142</v>
      </c>
      <c r="C101"/>
      <c r="D101"/>
    </row>
    <row r="102" spans="1:4" x14ac:dyDescent="0.25">
      <c r="A102" s="3" t="s">
        <v>143</v>
      </c>
      <c r="C102"/>
      <c r="D102"/>
    </row>
    <row r="103" spans="1:4" x14ac:dyDescent="0.25">
      <c r="A103" s="3" t="s">
        <v>144</v>
      </c>
      <c r="C103"/>
      <c r="D103"/>
    </row>
    <row r="104" spans="1:4" x14ac:dyDescent="0.25">
      <c r="A104" s="3" t="s">
        <v>145</v>
      </c>
      <c r="C104"/>
      <c r="D104"/>
    </row>
    <row r="105" spans="1:4" x14ac:dyDescent="0.25">
      <c r="A105" s="3" t="s">
        <v>146</v>
      </c>
      <c r="C105"/>
      <c r="D105"/>
    </row>
    <row r="106" spans="1:4" x14ac:dyDescent="0.25">
      <c r="A106" s="3" t="s">
        <v>147</v>
      </c>
      <c r="C106"/>
      <c r="D106"/>
    </row>
    <row r="107" spans="1:4" x14ac:dyDescent="0.25">
      <c r="A107" s="3" t="s">
        <v>148</v>
      </c>
      <c r="C107"/>
      <c r="D107"/>
    </row>
    <row r="108" spans="1:4" x14ac:dyDescent="0.25">
      <c r="A108" s="3" t="s">
        <v>149</v>
      </c>
      <c r="C108"/>
      <c r="D108"/>
    </row>
    <row r="109" spans="1:4" x14ac:dyDescent="0.25">
      <c r="A109" s="3" t="s">
        <v>150</v>
      </c>
      <c r="C109"/>
      <c r="D109"/>
    </row>
    <row r="110" spans="1:4" x14ac:dyDescent="0.25">
      <c r="A110" s="3" t="s">
        <v>151</v>
      </c>
      <c r="C110"/>
      <c r="D110"/>
    </row>
    <row r="111" spans="1:4" x14ac:dyDescent="0.25">
      <c r="A111" s="3" t="s">
        <v>152</v>
      </c>
      <c r="C111"/>
      <c r="D111"/>
    </row>
    <row r="112" spans="1:4" x14ac:dyDescent="0.25">
      <c r="A112" s="3" t="s">
        <v>153</v>
      </c>
      <c r="C112"/>
      <c r="D112"/>
    </row>
    <row r="113" spans="1:4" x14ac:dyDescent="0.25">
      <c r="A113" s="3" t="s">
        <v>154</v>
      </c>
      <c r="C113"/>
      <c r="D113"/>
    </row>
    <row r="114" spans="1:4" x14ac:dyDescent="0.25">
      <c r="A114" s="3" t="s">
        <v>155</v>
      </c>
      <c r="C114"/>
      <c r="D114"/>
    </row>
    <row r="115" spans="1:4" x14ac:dyDescent="0.25">
      <c r="A115" s="3" t="s">
        <v>156</v>
      </c>
      <c r="C115"/>
      <c r="D115"/>
    </row>
    <row r="116" spans="1:4" x14ac:dyDescent="0.25">
      <c r="A116" s="3" t="s">
        <v>157</v>
      </c>
      <c r="C116"/>
      <c r="D116"/>
    </row>
    <row r="117" spans="1:4" x14ac:dyDescent="0.25">
      <c r="A117" s="3" t="s">
        <v>158</v>
      </c>
      <c r="C117"/>
      <c r="D117"/>
    </row>
    <row r="118" spans="1:4" x14ac:dyDescent="0.25">
      <c r="A118" s="3" t="s">
        <v>159</v>
      </c>
      <c r="C118"/>
      <c r="D118"/>
    </row>
    <row r="119" spans="1:4" x14ac:dyDescent="0.25">
      <c r="A119" s="3" t="s">
        <v>160</v>
      </c>
      <c r="C119"/>
      <c r="D119"/>
    </row>
    <row r="120" spans="1:4" x14ac:dyDescent="0.25">
      <c r="A120" s="3" t="s">
        <v>161</v>
      </c>
      <c r="C120"/>
      <c r="D120"/>
    </row>
    <row r="121" spans="1:4" x14ac:dyDescent="0.25">
      <c r="A121" s="3" t="s">
        <v>162</v>
      </c>
      <c r="C121"/>
      <c r="D121"/>
    </row>
    <row r="122" spans="1:4" x14ac:dyDescent="0.25">
      <c r="A122" s="3" t="s">
        <v>163</v>
      </c>
      <c r="C122"/>
      <c r="D122"/>
    </row>
    <row r="123" spans="1:4" x14ac:dyDescent="0.25">
      <c r="A123" s="3" t="s">
        <v>164</v>
      </c>
      <c r="C123"/>
      <c r="D123"/>
    </row>
    <row r="124" spans="1:4" x14ac:dyDescent="0.25">
      <c r="A124" s="3" t="s">
        <v>165</v>
      </c>
      <c r="C124"/>
      <c r="D124"/>
    </row>
    <row r="125" spans="1:4" x14ac:dyDescent="0.25">
      <c r="A125" s="3" t="s">
        <v>166</v>
      </c>
      <c r="C125"/>
      <c r="D125"/>
    </row>
    <row r="126" spans="1:4" x14ac:dyDescent="0.25">
      <c r="A126" s="3" t="s">
        <v>167</v>
      </c>
      <c r="C126"/>
      <c r="D126"/>
    </row>
    <row r="127" spans="1:4" x14ac:dyDescent="0.25">
      <c r="A127" s="3" t="s">
        <v>168</v>
      </c>
      <c r="C127"/>
      <c r="D127"/>
    </row>
    <row r="128" spans="1:4" x14ac:dyDescent="0.25">
      <c r="A128" s="3" t="s">
        <v>169</v>
      </c>
      <c r="C128"/>
      <c r="D128"/>
    </row>
    <row r="129" spans="1:4" x14ac:dyDescent="0.25">
      <c r="A129" s="3" t="s">
        <v>170</v>
      </c>
      <c r="C129"/>
      <c r="D129"/>
    </row>
    <row r="130" spans="1:4" x14ac:dyDescent="0.25">
      <c r="A130" s="3" t="s">
        <v>171</v>
      </c>
      <c r="C130"/>
      <c r="D130"/>
    </row>
    <row r="131" spans="1:4" x14ac:dyDescent="0.25">
      <c r="A131" s="3" t="s">
        <v>172</v>
      </c>
      <c r="C131"/>
      <c r="D131"/>
    </row>
    <row r="132" spans="1:4" x14ac:dyDescent="0.25">
      <c r="A132" s="3" t="s">
        <v>173</v>
      </c>
      <c r="C132"/>
      <c r="D132"/>
    </row>
    <row r="133" spans="1:4" x14ac:dyDescent="0.25">
      <c r="A133" s="3" t="s">
        <v>174</v>
      </c>
      <c r="C133"/>
      <c r="D133"/>
    </row>
    <row r="134" spans="1:4" x14ac:dyDescent="0.25">
      <c r="A134" s="3" t="s">
        <v>175</v>
      </c>
      <c r="C134"/>
      <c r="D134"/>
    </row>
    <row r="135" spans="1:4" x14ac:dyDescent="0.25">
      <c r="A135" s="3" t="s">
        <v>176</v>
      </c>
      <c r="C135"/>
      <c r="D135"/>
    </row>
    <row r="136" spans="1:4" x14ac:dyDescent="0.25">
      <c r="A136" s="3" t="s">
        <v>177</v>
      </c>
      <c r="C136"/>
      <c r="D136"/>
    </row>
    <row r="137" spans="1:4" x14ac:dyDescent="0.25">
      <c r="A137" s="3" t="s">
        <v>178</v>
      </c>
      <c r="C137"/>
      <c r="D137"/>
    </row>
    <row r="138" spans="1:4" x14ac:dyDescent="0.25">
      <c r="A138" s="3" t="s">
        <v>179</v>
      </c>
      <c r="C138"/>
      <c r="D138"/>
    </row>
    <row r="139" spans="1:4" x14ac:dyDescent="0.25">
      <c r="A139" s="3" t="s">
        <v>180</v>
      </c>
      <c r="C139"/>
      <c r="D139"/>
    </row>
    <row r="140" spans="1:4" x14ac:dyDescent="0.25">
      <c r="A140" s="3" t="s">
        <v>181</v>
      </c>
      <c r="C140"/>
      <c r="D140"/>
    </row>
    <row r="141" spans="1:4" x14ac:dyDescent="0.25">
      <c r="A141" s="3" t="s">
        <v>182</v>
      </c>
      <c r="C141"/>
      <c r="D141"/>
    </row>
    <row r="142" spans="1:4" x14ac:dyDescent="0.25">
      <c r="A142" s="3" t="s">
        <v>183</v>
      </c>
      <c r="C142"/>
      <c r="D142"/>
    </row>
    <row r="143" spans="1:4" x14ac:dyDescent="0.25">
      <c r="A143" s="3" t="s">
        <v>184</v>
      </c>
      <c r="C143"/>
      <c r="D143"/>
    </row>
    <row r="144" spans="1:4" x14ac:dyDescent="0.25">
      <c r="A144" s="3" t="s">
        <v>185</v>
      </c>
      <c r="C144"/>
      <c r="D144"/>
    </row>
    <row r="145" spans="1:4" x14ac:dyDescent="0.25">
      <c r="A145" s="3" t="s">
        <v>186</v>
      </c>
      <c r="C145"/>
      <c r="D145"/>
    </row>
    <row r="146" spans="1:4" x14ac:dyDescent="0.25">
      <c r="A146" s="3" t="s">
        <v>187</v>
      </c>
      <c r="C146"/>
      <c r="D146"/>
    </row>
    <row r="147" spans="1:4" x14ac:dyDescent="0.25">
      <c r="A147" s="3" t="s">
        <v>188</v>
      </c>
      <c r="C147"/>
      <c r="D147"/>
    </row>
    <row r="148" spans="1:4" x14ac:dyDescent="0.25">
      <c r="A148" s="3" t="s">
        <v>189</v>
      </c>
      <c r="C148"/>
      <c r="D148"/>
    </row>
    <row r="149" spans="1:4" x14ac:dyDescent="0.25">
      <c r="A149" s="3" t="s">
        <v>190</v>
      </c>
      <c r="C149"/>
      <c r="D149"/>
    </row>
    <row r="150" spans="1:4" x14ac:dyDescent="0.25">
      <c r="A150" s="3" t="s">
        <v>191</v>
      </c>
      <c r="C150"/>
      <c r="D150"/>
    </row>
    <row r="151" spans="1:4" x14ac:dyDescent="0.25">
      <c r="A151" s="3" t="s">
        <v>192</v>
      </c>
      <c r="C151"/>
      <c r="D151"/>
    </row>
    <row r="152" spans="1:4" x14ac:dyDescent="0.25">
      <c r="A152" s="3" t="s">
        <v>193</v>
      </c>
      <c r="C152"/>
      <c r="D152"/>
    </row>
    <row r="153" spans="1:4" x14ac:dyDescent="0.25">
      <c r="A153" s="3" t="s">
        <v>194</v>
      </c>
      <c r="C153"/>
      <c r="D153"/>
    </row>
    <row r="154" spans="1:4" x14ac:dyDescent="0.25">
      <c r="A154" s="3" t="s">
        <v>195</v>
      </c>
      <c r="C154"/>
      <c r="D154"/>
    </row>
    <row r="155" spans="1:4" x14ac:dyDescent="0.25">
      <c r="A155" s="3" t="s">
        <v>196</v>
      </c>
      <c r="C155"/>
      <c r="D155"/>
    </row>
    <row r="156" spans="1:4" x14ac:dyDescent="0.25">
      <c r="A156" s="3" t="s">
        <v>197</v>
      </c>
      <c r="C156"/>
      <c r="D156"/>
    </row>
    <row r="157" spans="1:4" x14ac:dyDescent="0.25">
      <c r="A157" s="3" t="s">
        <v>198</v>
      </c>
      <c r="C157"/>
      <c r="D157"/>
    </row>
    <row r="158" spans="1:4" x14ac:dyDescent="0.25">
      <c r="A158" s="3" t="s">
        <v>199</v>
      </c>
      <c r="C158"/>
      <c r="D158"/>
    </row>
    <row r="159" spans="1:4" x14ac:dyDescent="0.25">
      <c r="A159" s="3" t="s">
        <v>200</v>
      </c>
      <c r="C159"/>
      <c r="D159"/>
    </row>
    <row r="160" spans="1:4" x14ac:dyDescent="0.25">
      <c r="A160" s="3" t="s">
        <v>201</v>
      </c>
      <c r="C160"/>
      <c r="D160"/>
    </row>
    <row r="161" spans="1:4" x14ac:dyDescent="0.25">
      <c r="A161" s="3" t="s">
        <v>202</v>
      </c>
      <c r="C161"/>
      <c r="D161"/>
    </row>
    <row r="162" spans="1:4" x14ac:dyDescent="0.25">
      <c r="A162" s="3" t="s">
        <v>203</v>
      </c>
      <c r="C162"/>
      <c r="D162"/>
    </row>
    <row r="163" spans="1:4" x14ac:dyDescent="0.25">
      <c r="A163" s="3" t="s">
        <v>204</v>
      </c>
      <c r="C163"/>
      <c r="D163"/>
    </row>
    <row r="164" spans="1:4" x14ac:dyDescent="0.25">
      <c r="A164" s="3" t="s">
        <v>205</v>
      </c>
      <c r="C164"/>
      <c r="D164"/>
    </row>
    <row r="165" spans="1:4" x14ac:dyDescent="0.25">
      <c r="A165" s="3" t="s">
        <v>206</v>
      </c>
      <c r="C165"/>
      <c r="D165"/>
    </row>
    <row r="166" spans="1:4" x14ac:dyDescent="0.25">
      <c r="A166" s="3" t="s">
        <v>207</v>
      </c>
      <c r="C166"/>
      <c r="D166"/>
    </row>
    <row r="167" spans="1:4" x14ac:dyDescent="0.25">
      <c r="A167" s="3" t="s">
        <v>208</v>
      </c>
      <c r="C167"/>
      <c r="D167"/>
    </row>
    <row r="168" spans="1:4" x14ac:dyDescent="0.25">
      <c r="A168" s="3" t="s">
        <v>209</v>
      </c>
      <c r="C168"/>
      <c r="D168"/>
    </row>
    <row r="169" spans="1:4" x14ac:dyDescent="0.25">
      <c r="A169" s="3" t="s">
        <v>210</v>
      </c>
      <c r="C169"/>
      <c r="D169"/>
    </row>
    <row r="170" spans="1:4" x14ac:dyDescent="0.25">
      <c r="A170" s="3" t="s">
        <v>211</v>
      </c>
      <c r="C170"/>
      <c r="D170"/>
    </row>
    <row r="171" spans="1:4" x14ac:dyDescent="0.25">
      <c r="A171" s="3" t="s">
        <v>212</v>
      </c>
      <c r="C171"/>
      <c r="D171"/>
    </row>
    <row r="172" spans="1:4" x14ac:dyDescent="0.25">
      <c r="A172" s="3" t="s">
        <v>213</v>
      </c>
      <c r="C172"/>
      <c r="D172"/>
    </row>
    <row r="173" spans="1:4" x14ac:dyDescent="0.25">
      <c r="A173" s="3" t="s">
        <v>214</v>
      </c>
      <c r="C173"/>
      <c r="D173"/>
    </row>
    <row r="174" spans="1:4" x14ac:dyDescent="0.25">
      <c r="A174" s="3" t="s">
        <v>215</v>
      </c>
      <c r="C174"/>
      <c r="D174"/>
    </row>
    <row r="175" spans="1:4" x14ac:dyDescent="0.25">
      <c r="A175" s="3" t="s">
        <v>216</v>
      </c>
      <c r="C175"/>
      <c r="D175"/>
    </row>
    <row r="176" spans="1:4" x14ac:dyDescent="0.25">
      <c r="A176" s="3" t="s">
        <v>217</v>
      </c>
      <c r="C176"/>
      <c r="D176"/>
    </row>
    <row r="177" spans="1:4" x14ac:dyDescent="0.25">
      <c r="A177" s="3" t="s">
        <v>218</v>
      </c>
      <c r="C177"/>
      <c r="D177"/>
    </row>
    <row r="178" spans="1:4" x14ac:dyDescent="0.25">
      <c r="A178" s="3" t="s">
        <v>219</v>
      </c>
      <c r="C178"/>
      <c r="D178"/>
    </row>
    <row r="179" spans="1:4" x14ac:dyDescent="0.25">
      <c r="A179" s="3" t="s">
        <v>220</v>
      </c>
      <c r="C179"/>
      <c r="D179"/>
    </row>
    <row r="180" spans="1:4" x14ac:dyDescent="0.25">
      <c r="A180" s="3" t="s">
        <v>221</v>
      </c>
      <c r="C180"/>
      <c r="D180"/>
    </row>
    <row r="181" spans="1:4" x14ac:dyDescent="0.25">
      <c r="A181" s="3" t="s">
        <v>222</v>
      </c>
      <c r="C181"/>
      <c r="D181"/>
    </row>
    <row r="182" spans="1:4" x14ac:dyDescent="0.25">
      <c r="A182" s="3"/>
      <c r="C182"/>
      <c r="D182"/>
    </row>
    <row r="183" spans="1:4" x14ac:dyDescent="0.25">
      <c r="A183" s="3"/>
      <c r="C183"/>
      <c r="D183"/>
    </row>
    <row r="184" spans="1:4" x14ac:dyDescent="0.25">
      <c r="A184" s="3"/>
      <c r="C184"/>
      <c r="D184"/>
    </row>
    <row r="185" spans="1:4" x14ac:dyDescent="0.25">
      <c r="A185" s="3"/>
      <c r="C185"/>
      <c r="D185"/>
    </row>
    <row r="186" spans="1:4" x14ac:dyDescent="0.25">
      <c r="A186" s="3"/>
    </row>
    <row r="187" spans="1:4" x14ac:dyDescent="0.25">
      <c r="A187" s="3"/>
    </row>
    <row r="188" spans="1:4" x14ac:dyDescent="0.25">
      <c r="A188" s="3"/>
    </row>
    <row r="189" spans="1:4" x14ac:dyDescent="0.25">
      <c r="A189" s="3"/>
    </row>
    <row r="190" spans="1:4" x14ac:dyDescent="0.25">
      <c r="A190" s="3"/>
    </row>
    <row r="191" spans="1:4" x14ac:dyDescent="0.25">
      <c r="A191" s="3"/>
    </row>
    <row r="192" spans="1:4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</sheetData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7"/>
  <sheetViews>
    <sheetView workbookViewId="0">
      <selection activeCell="A2" sqref="A2:A27"/>
    </sheetView>
  </sheetViews>
  <sheetFormatPr defaultRowHeight="15" x14ac:dyDescent="0.25"/>
  <cols>
    <col min="1" max="1" width="5.85546875" bestFit="1" customWidth="1"/>
  </cols>
  <sheetData>
    <row r="1" spans="1:1" x14ac:dyDescent="0.25">
      <c r="A1" s="3" t="s">
        <v>16</v>
      </c>
    </row>
    <row r="2" spans="1:1" x14ac:dyDescent="0.25">
      <c r="A2" s="3" t="s">
        <v>2</v>
      </c>
    </row>
    <row r="3" spans="1:1" x14ac:dyDescent="0.25">
      <c r="A3" s="3" t="s">
        <v>9</v>
      </c>
    </row>
    <row r="4" spans="1:1" x14ac:dyDescent="0.25">
      <c r="A4" s="3" t="s">
        <v>11</v>
      </c>
    </row>
    <row r="5" spans="1:1" x14ac:dyDescent="0.25">
      <c r="A5" s="3" t="s">
        <v>12</v>
      </c>
    </row>
    <row r="6" spans="1:1" x14ac:dyDescent="0.25">
      <c r="A6" s="3" t="s">
        <v>13</v>
      </c>
    </row>
    <row r="7" spans="1:1" x14ac:dyDescent="0.25">
      <c r="A7" s="3" t="s">
        <v>14</v>
      </c>
    </row>
    <row r="8" spans="1:1" x14ac:dyDescent="0.25">
      <c r="A8" s="3" t="s">
        <v>15</v>
      </c>
    </row>
    <row r="9" spans="1:1" x14ac:dyDescent="0.25">
      <c r="A9" s="3" t="s">
        <v>19</v>
      </c>
    </row>
    <row r="10" spans="1:1" x14ac:dyDescent="0.25">
      <c r="A10" s="3" t="s">
        <v>20</v>
      </c>
    </row>
    <row r="11" spans="1:1" x14ac:dyDescent="0.25">
      <c r="A11" s="3" t="s">
        <v>21</v>
      </c>
    </row>
    <row r="12" spans="1:1" x14ac:dyDescent="0.25">
      <c r="A12" s="3" t="s">
        <v>22</v>
      </c>
    </row>
    <row r="13" spans="1:1" x14ac:dyDescent="0.25">
      <c r="A13" s="3" t="s">
        <v>37</v>
      </c>
    </row>
    <row r="14" spans="1:1" x14ac:dyDescent="0.25">
      <c r="A14" s="3" t="s">
        <v>23</v>
      </c>
    </row>
    <row r="15" spans="1:1" x14ac:dyDescent="0.25">
      <c r="A15" s="3" t="s">
        <v>24</v>
      </c>
    </row>
    <row r="16" spans="1:1" x14ac:dyDescent="0.25">
      <c r="A16" s="3" t="s">
        <v>25</v>
      </c>
    </row>
    <row r="17" spans="1:1" x14ac:dyDescent="0.25">
      <c r="A17" s="3" t="s">
        <v>26</v>
      </c>
    </row>
    <row r="18" spans="1:1" x14ac:dyDescent="0.25">
      <c r="A18" s="3" t="s">
        <v>27</v>
      </c>
    </row>
    <row r="19" spans="1:1" x14ac:dyDescent="0.25">
      <c r="A19" s="3" t="s">
        <v>28</v>
      </c>
    </row>
    <row r="20" spans="1:1" x14ac:dyDescent="0.25">
      <c r="A20" s="3" t="s">
        <v>29</v>
      </c>
    </row>
    <row r="21" spans="1:1" x14ac:dyDescent="0.25">
      <c r="A21" s="3" t="s">
        <v>30</v>
      </c>
    </row>
    <row r="22" spans="1:1" x14ac:dyDescent="0.25">
      <c r="A22" s="3" t="s">
        <v>31</v>
      </c>
    </row>
    <row r="23" spans="1:1" x14ac:dyDescent="0.25">
      <c r="A23" s="3" t="s">
        <v>32</v>
      </c>
    </row>
    <row r="24" spans="1:1" x14ac:dyDescent="0.25">
      <c r="A24" s="3" t="s">
        <v>33</v>
      </c>
    </row>
    <row r="25" spans="1:1" x14ac:dyDescent="0.25">
      <c r="A25" s="3" t="s">
        <v>34</v>
      </c>
    </row>
    <row r="26" spans="1:1" x14ac:dyDescent="0.25">
      <c r="A26" s="3" t="s">
        <v>35</v>
      </c>
    </row>
    <row r="27" spans="1:1" x14ac:dyDescent="0.25">
      <c r="A27" s="3" t="s">
        <v>36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5"/>
  <sheetViews>
    <sheetView tabSelected="1" workbookViewId="0">
      <selection activeCell="A12" sqref="A12"/>
    </sheetView>
  </sheetViews>
  <sheetFormatPr defaultRowHeight="15" x14ac:dyDescent="0.25"/>
  <cols>
    <col min="1" max="1" width="41.5703125" bestFit="1" customWidth="1"/>
  </cols>
  <sheetData>
    <row r="1" spans="1:1" x14ac:dyDescent="0.25">
      <c r="A1" s="3" t="s">
        <v>226</v>
      </c>
    </row>
    <row r="2" spans="1:1" x14ac:dyDescent="0.25">
      <c r="A2" s="3" t="s">
        <v>227</v>
      </c>
    </row>
    <row r="3" spans="1:1" x14ac:dyDescent="0.25">
      <c r="A3" s="3" t="s">
        <v>228</v>
      </c>
    </row>
    <row r="4" spans="1:1" x14ac:dyDescent="0.25">
      <c r="A4" s="3" t="s">
        <v>229</v>
      </c>
    </row>
    <row r="5" spans="1:1" x14ac:dyDescent="0.25">
      <c r="A5" s="3" t="s">
        <v>230</v>
      </c>
    </row>
    <row r="6" spans="1:1" x14ac:dyDescent="0.25">
      <c r="A6" s="3" t="s">
        <v>231</v>
      </c>
    </row>
    <row r="7" spans="1:1" x14ac:dyDescent="0.25">
      <c r="A7" s="3" t="s">
        <v>232</v>
      </c>
    </row>
    <row r="8" spans="1:1" x14ac:dyDescent="0.25">
      <c r="A8" s="3" t="s">
        <v>233</v>
      </c>
    </row>
    <row r="9" spans="1:1" x14ac:dyDescent="0.25">
      <c r="A9" s="3" t="s">
        <v>234</v>
      </c>
    </row>
    <row r="10" spans="1:1" x14ac:dyDescent="0.25">
      <c r="A10" s="3" t="s">
        <v>235</v>
      </c>
    </row>
    <row r="11" spans="1:1" x14ac:dyDescent="0.25">
      <c r="A11" s="3" t="s">
        <v>236</v>
      </c>
    </row>
    <row r="12" spans="1:1" x14ac:dyDescent="0.25">
      <c r="A12" s="3" t="s">
        <v>237</v>
      </c>
    </row>
    <row r="13" spans="1:1" x14ac:dyDescent="0.25">
      <c r="A13" s="3" t="s">
        <v>238</v>
      </c>
    </row>
    <row r="14" spans="1:1" x14ac:dyDescent="0.25">
      <c r="A14" s="3" t="s">
        <v>239</v>
      </c>
    </row>
    <row r="15" spans="1:1" x14ac:dyDescent="0.25">
      <c r="A15" s="3" t="s">
        <v>240</v>
      </c>
    </row>
    <row r="16" spans="1:1" x14ac:dyDescent="0.25">
      <c r="A16" s="3" t="s">
        <v>241</v>
      </c>
    </row>
    <row r="17" spans="1:1" x14ac:dyDescent="0.25">
      <c r="A17" s="3" t="s">
        <v>242</v>
      </c>
    </row>
    <row r="18" spans="1:1" x14ac:dyDescent="0.25">
      <c r="A18" s="3" t="s">
        <v>243</v>
      </c>
    </row>
    <row r="19" spans="1:1" x14ac:dyDescent="0.25">
      <c r="A19" s="3" t="s">
        <v>244</v>
      </c>
    </row>
    <row r="20" spans="1:1" x14ac:dyDescent="0.25">
      <c r="A20" s="3" t="s">
        <v>245</v>
      </c>
    </row>
    <row r="21" spans="1:1" x14ac:dyDescent="0.25">
      <c r="A21" s="3" t="s">
        <v>246</v>
      </c>
    </row>
    <row r="22" spans="1:1" x14ac:dyDescent="0.25">
      <c r="A22" s="3" t="s">
        <v>247</v>
      </c>
    </row>
    <row r="23" spans="1:1" x14ac:dyDescent="0.25">
      <c r="A23" s="3" t="s">
        <v>248</v>
      </c>
    </row>
    <row r="24" spans="1:1" x14ac:dyDescent="0.25">
      <c r="A24" s="3" t="s">
        <v>249</v>
      </c>
    </row>
    <row r="25" spans="1:1" x14ac:dyDescent="0.25">
      <c r="A25" s="3" t="s">
        <v>250</v>
      </c>
    </row>
    <row r="26" spans="1:1" x14ac:dyDescent="0.25">
      <c r="A26" s="3" t="s">
        <v>251</v>
      </c>
    </row>
    <row r="27" spans="1:1" x14ac:dyDescent="0.25">
      <c r="A27" s="3" t="s">
        <v>252</v>
      </c>
    </row>
    <row r="28" spans="1:1" x14ac:dyDescent="0.25">
      <c r="A28" s="3" t="s">
        <v>253</v>
      </c>
    </row>
    <row r="29" spans="1:1" x14ac:dyDescent="0.25">
      <c r="A29" s="3" t="s">
        <v>254</v>
      </c>
    </row>
    <row r="30" spans="1:1" x14ac:dyDescent="0.25">
      <c r="A30" s="3" t="s">
        <v>255</v>
      </c>
    </row>
    <row r="31" spans="1:1" x14ac:dyDescent="0.25">
      <c r="A31" s="3" t="s">
        <v>256</v>
      </c>
    </row>
    <row r="32" spans="1:1" x14ac:dyDescent="0.25">
      <c r="A32" s="3" t="s">
        <v>246</v>
      </c>
    </row>
    <row r="33" spans="1:1" x14ac:dyDescent="0.25">
      <c r="A33" s="3" t="s">
        <v>257</v>
      </c>
    </row>
    <row r="34" spans="1:1" x14ac:dyDescent="0.25">
      <c r="A34" s="3" t="s">
        <v>258</v>
      </c>
    </row>
    <row r="35" spans="1:1" x14ac:dyDescent="0.25">
      <c r="A35" s="3" t="s">
        <v>259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DC553A-2742-4DC4-B195-C1A6F7BC99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Options</vt:lpstr>
      <vt:lpstr>Receipts</vt:lpstr>
      <vt:lpstr>Pulled</vt:lpstr>
      <vt:lpstr>Shipped</vt:lpstr>
      <vt:lpstr>Item</vt:lpstr>
      <vt:lpstr>Lot</vt:lpstr>
      <vt:lpstr>Locations</vt:lpstr>
      <vt:lpstr>Quantity</vt:lpstr>
      <vt:lpstr>Received</vt:lpstr>
      <vt:lpstr>Received_6409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Bell, Morgan</cp:lastModifiedBy>
  <dcterms:created xsi:type="dcterms:W3CDTF">2018-06-08T20:39:31Z</dcterms:created>
  <dcterms:modified xsi:type="dcterms:W3CDTF">2018-07-26T17:31:15Z</dcterms:modified>
</cp:coreProperties>
</file>