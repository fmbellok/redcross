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mericanredcross-my.sharepoint.com/personal/morgan_bell5_redcross_org/Documents/Inventory/VBAInventory/"/>
    </mc:Choice>
  </mc:AlternateContent>
  <bookViews>
    <workbookView xWindow="0" yWindow="0" windowWidth="25200" windowHeight="11700" activeTab="2"/>
  </bookViews>
  <sheets>
    <sheet name="Options" sheetId="4" r:id="rId1"/>
    <sheet name="Receipts" sheetId="1" r:id="rId2"/>
    <sheet name="Shipped" sheetId="2" r:id="rId3"/>
    <sheet name="Control" sheetId="3" r:id="rId4"/>
  </sheets>
  <functionGroups builtInGroupCount="18"/>
  <definedNames>
    <definedName name="_xlnm._FilterDatabase" localSheetId="2" hidden="1">Shipped!#REF!</definedName>
    <definedName name="_xlnm.Criteria" localSheetId="2">Shipped!#REF!</definedName>
    <definedName name="_xlnm.Extract" localSheetId="2">Shipped!#REF!</definedName>
    <definedName name="Item">Table2[Item]</definedName>
    <definedName name="Quantity">Pulled[Quantity]</definedName>
    <definedName name="Received">Receipts!$A$1:$H$6</definedName>
    <definedName name="Received_6409">Pulled[Received 6409]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H6" i="1" s="1"/>
  <c r="G5" i="1"/>
  <c r="H5" i="1" s="1"/>
  <c r="G2" i="1"/>
  <c r="H2" i="1" s="1"/>
  <c r="G3" i="1"/>
  <c r="H3" i="1" s="1"/>
  <c r="G4" i="1"/>
  <c r="H4" i="1" s="1"/>
</calcChain>
</file>

<file path=xl/sharedStrings.xml><?xml version="1.0" encoding="utf-8"?>
<sst xmlns="http://schemas.openxmlformats.org/spreadsheetml/2006/main" count="98" uniqueCount="52">
  <si>
    <t>item</t>
  </si>
  <si>
    <t>expiration  date</t>
  </si>
  <si>
    <t>Quantity Received</t>
  </si>
  <si>
    <t>a</t>
  </si>
  <si>
    <t>Quantity Consumed</t>
  </si>
  <si>
    <t>Quantity Available</t>
  </si>
  <si>
    <t>Received 6409</t>
  </si>
  <si>
    <t>Shipped 6409</t>
  </si>
  <si>
    <t>Date</t>
  </si>
  <si>
    <t>Quantity</t>
  </si>
  <si>
    <t>b</t>
  </si>
  <si>
    <t>Item</t>
  </si>
  <si>
    <t>c</t>
  </si>
  <si>
    <t>d</t>
  </si>
  <si>
    <t>e</t>
  </si>
  <si>
    <t>f</t>
  </si>
  <si>
    <t>g</t>
  </si>
  <si>
    <t>Lot</t>
  </si>
  <si>
    <t>Location</t>
  </si>
  <si>
    <t>date received</t>
  </si>
  <si>
    <t>Sublocation</t>
  </si>
  <si>
    <t>aa</t>
  </si>
  <si>
    <t>bb</t>
  </si>
  <si>
    <t>cc</t>
  </si>
  <si>
    <t>dd</t>
  </si>
  <si>
    <t>ee</t>
  </si>
  <si>
    <t>ff</t>
  </si>
  <si>
    <t>gg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</si>
  <si>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</si>
  <si>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</si>
  <si>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</si>
  <si>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</si>
  <si>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</si>
  <si>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</si>
  <si>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</si>
  <si>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</si>
  <si>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</si>
  <si>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</si>
  <si>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</si>
  <si>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</si>
  <si>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</si>
  <si>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</si>
  <si>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</si>
  <si>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</si>
  <si>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</si>
  <si>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</si>
  <si>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l</t>
  </si>
  <si>
    <t>aaaa</t>
  </si>
  <si>
    <t>Receipt Options</t>
  </si>
  <si>
    <t>Ship Options</t>
  </si>
  <si>
    <t>Receipt 6409</t>
  </si>
  <si>
    <t>dddd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</si>
</sst>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NumberFormat="1" applyAlignment="1">
      <alignment horizontal="center" wrapText="1"/>
    </xf>
    <xf numFmtId="49" fontId="0" fillId="0" borderId="0" xfId="0" applyNumberFormat="1"/>
    <xf numFmtId="0" fontId="0" fillId="2" borderId="0" xfId="0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11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m/d/yyyy"/>
    </dxf>
    <dxf>
      <numFmt numFmtId="19" formatCode="m/d/yyyy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19" formatCode="m/d/yyyy"/>
    </dxf>
    <dxf>
      <numFmt numFmtId="19" formatCode="m/d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3</xdr:row>
          <xdr:rowOff>152400</xdr:rowOff>
        </xdr:from>
        <xdr:to>
          <xdr:col>9</xdr:col>
          <xdr:colOff>552450</xdr:colOff>
          <xdr:row>6</xdr:row>
          <xdr:rowOff>47625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Shipping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8</xdr:row>
          <xdr:rowOff>161925</xdr:rowOff>
        </xdr:from>
        <xdr:to>
          <xdr:col>9</xdr:col>
          <xdr:colOff>600075</xdr:colOff>
          <xdr:row>11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Retrieve Shipping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19050</xdr:rowOff>
        </xdr:from>
        <xdr:to>
          <xdr:col>4</xdr:col>
          <xdr:colOff>0</xdr:colOff>
          <xdr:row>6</xdr:row>
          <xdr:rowOff>28575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Receive Receipt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8</xdr:row>
          <xdr:rowOff>180975</xdr:rowOff>
        </xdr:from>
        <xdr:to>
          <xdr:col>3</xdr:col>
          <xdr:colOff>590550</xdr:colOff>
          <xdr:row>11</xdr:row>
          <xdr:rowOff>28575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Retrieve Receipt Order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J6" totalsRowShown="0" headerRowDxfId="10">
  <autoFilter ref="A1:J6"/>
  <tableColumns count="10">
    <tableColumn id="1" name="item"/>
    <tableColumn id="2" name="date received" dataDxfId="9"/>
    <tableColumn id="3" name="expiration  date" dataDxfId="8"/>
    <tableColumn id="4" name="Quantity Received"/>
    <tableColumn id="5" name="Received 6409"/>
    <tableColumn id="8" name="Lot"/>
    <tableColumn id="6" name="Quantity Consumed" dataDxfId="7">
      <calculatedColumnFormula>SUMIF(Received_6409,E2,Quantity)</calculatedColumnFormula>
    </tableColumn>
    <tableColumn id="7" name="Quantity Available">
      <calculatedColumnFormula>D2-G2</calculatedColumnFormula>
    </tableColumn>
    <tableColumn id="10" name="Location"/>
    <tableColumn id="9" name="Sub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Table9" displayName="Table9" ref="M1:M6" totalsRowShown="0">
  <autoFilter ref="M1:M6"/>
  <tableColumns count="1">
    <tableColumn id="1" name="Receipt 640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ulled" displayName="Pulled" ref="A1:F9" totalsRowShown="0" headerRowDxfId="6">
  <autoFilter ref="A1:F9"/>
  <tableColumns count="6">
    <tableColumn id="1" name="item"/>
    <tableColumn id="2" name="Received 6409"/>
    <tableColumn id="6" name="Lot"/>
    <tableColumn id="3" name="Shipped 6409"/>
    <tableColumn id="4" name="Date" dataDxfId="5"/>
    <tableColumn id="5" name="Quanti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Table7" displayName="Table7" ref="I1:L2" totalsRowShown="0">
  <autoFilter ref="I1:L2"/>
  <tableColumns count="4">
    <tableColumn id="1" name="Item"/>
    <tableColumn id="2" name="Shipped 6409"/>
    <tableColumn id="3" name="Date" dataDxfId="4"/>
    <tableColumn id="4" name="Quantit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Table8" displayName="Table8" ref="O1:O5" totalsRowShown="0">
  <autoFilter ref="O1:O5"/>
  <tableColumns count="1">
    <tableColumn id="1" name="Shipped 640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Table2" displayName="Table2" ref="A1:A8" totalsRowShown="0">
  <autoFilter ref="A1:A8"/>
  <tableColumns count="1">
    <tableColumn id="1" name="Item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able4" displayName="Table4" ref="C1:C8" totalsRowShown="0" headerRowDxfId="3">
  <autoFilter ref="C1:C8"/>
  <tableColumns count="1">
    <tableColumn id="1" name="Location" dataDxfId="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able5" displayName="Table5" ref="E1:E8" totalsRowShown="0" headerRowDxfId="1">
  <autoFilter ref="E1:E8"/>
  <tableColumns count="1">
    <tableColumn id="1" name="Sublocation" data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6" name="Table6" displayName="Table6" ref="G1:G27" totalsRowShown="0">
  <autoFilter ref="G1:G27"/>
  <tableColumns count="1">
    <tableColumn id="1" name="Lo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J2"/>
  <sheetViews>
    <sheetView workbookViewId="0">
      <selection activeCell="L15" sqref="L15"/>
    </sheetView>
  </sheetViews>
  <sheetFormatPr defaultRowHeight="15" x14ac:dyDescent="0.25"/>
  <cols>
    <col min="6" max="6" width="9.140625" style="9"/>
  </cols>
  <sheetData>
    <row r="2" spans="2:10" ht="18.75" x14ac:dyDescent="0.3">
      <c r="B2" s="10" t="s">
        <v>48</v>
      </c>
      <c r="C2" s="10"/>
      <c r="D2" s="10"/>
      <c r="H2" s="10" t="s">
        <v>49</v>
      </c>
      <c r="I2" s="10"/>
      <c r="J2" s="10"/>
    </row>
  </sheetData>
  <mergeCells count="2">
    <mergeCell ref="B2:D2"/>
    <mergeCell ref="H2:J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ShowList">
                <anchor moveWithCells="1" sizeWithCells="1">
                  <from>
                    <xdr:col>6</xdr:col>
                    <xdr:colOff>581025</xdr:colOff>
                    <xdr:row>3</xdr:row>
                    <xdr:rowOff>152400</xdr:rowOff>
                  </from>
                  <to>
                    <xdr:col>9</xdr:col>
                    <xdr:colOff>552450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Hello">
                <anchor moveWithCells="1" sizeWithCells="1">
                  <from>
                    <xdr:col>7</xdr:col>
                    <xdr:colOff>19050</xdr:colOff>
                    <xdr:row>8</xdr:row>
                    <xdr:rowOff>161925</xdr:rowOff>
                  </from>
                  <to>
                    <xdr:col>9</xdr:col>
                    <xdr:colOff>600075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Hello">
                <anchor moveWithCells="1" sizeWithCells="1">
                  <from>
                    <xdr:col>1</xdr:col>
                    <xdr:colOff>9525</xdr:colOff>
                    <xdr:row>4</xdr:row>
                    <xdr:rowOff>19050</xdr:rowOff>
                  </from>
                  <to>
                    <xdr:col>4</xdr:col>
                    <xdr:colOff>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Hello">
                <anchor moveWithCells="1" sizeWithCells="1">
                  <from>
                    <xdr:col>0</xdr:col>
                    <xdr:colOff>600075</xdr:colOff>
                    <xdr:row>8</xdr:row>
                    <xdr:rowOff>180975</xdr:rowOff>
                  </from>
                  <to>
                    <xdr:col>3</xdr:col>
                    <xdr:colOff>590550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6"/>
  <sheetViews>
    <sheetView workbookViewId="0">
      <selection activeCell="M10" sqref="M10"/>
    </sheetView>
  </sheetViews>
  <sheetFormatPr defaultRowHeight="15" x14ac:dyDescent="0.25"/>
  <cols>
    <col min="2" max="2" width="10.85546875" customWidth="1"/>
    <col min="3" max="3" width="14.5703125" customWidth="1"/>
    <col min="4" max="4" width="15.28515625" customWidth="1"/>
    <col min="5" max="5" width="16.28515625" customWidth="1"/>
    <col min="6" max="6" width="15.7109375" customWidth="1"/>
    <col min="7" max="7" width="14.42578125" customWidth="1"/>
    <col min="8" max="8" width="15.42578125" customWidth="1"/>
    <col min="9" max="9" width="19.5703125" customWidth="1"/>
    <col min="10" max="10" width="13.7109375" customWidth="1"/>
    <col min="13" max="13" width="15.7109375" customWidth="1"/>
    <col min="14" max="14" width="14.85546875" customWidth="1"/>
    <col min="15" max="15" width="9.7109375" bestFit="1" customWidth="1"/>
    <col min="16" max="16" width="10.85546875" customWidth="1"/>
  </cols>
  <sheetData>
    <row r="1" spans="1:13" ht="27" customHeight="1" x14ac:dyDescent="0.25">
      <c r="A1" s="1" t="s">
        <v>0</v>
      </c>
      <c r="B1" s="6" t="s">
        <v>19</v>
      </c>
      <c r="C1" s="5" t="s">
        <v>1</v>
      </c>
      <c r="D1" s="7" t="s">
        <v>2</v>
      </c>
      <c r="E1" s="4" t="s">
        <v>6</v>
      </c>
      <c r="F1" s="7" t="s">
        <v>17</v>
      </c>
      <c r="G1" s="7" t="s">
        <v>4</v>
      </c>
      <c r="H1" s="7" t="s">
        <v>5</v>
      </c>
      <c r="I1" s="7" t="s">
        <v>18</v>
      </c>
      <c r="J1" s="4" t="s">
        <v>20</v>
      </c>
      <c r="K1" s="1"/>
      <c r="M1" t="s">
        <v>50</v>
      </c>
    </row>
    <row r="2" spans="1:13" x14ac:dyDescent="0.25">
      <c r="A2" t="s">
        <v>3</v>
      </c>
      <c r="B2" s="2">
        <v>43101</v>
      </c>
      <c r="C2" s="2">
        <v>43132</v>
      </c>
      <c r="D2">
        <v>10</v>
      </c>
      <c r="E2">
        <v>1</v>
      </c>
      <c r="F2" t="s">
        <v>3</v>
      </c>
      <c r="G2">
        <f>SUMIF(Received_6409,E2,Quantity)</f>
        <v>8</v>
      </c>
      <c r="H2">
        <f>D2-G2</f>
        <v>2</v>
      </c>
      <c r="I2" t="s">
        <v>21</v>
      </c>
      <c r="J2">
        <v>1</v>
      </c>
      <c r="M2">
        <v>1</v>
      </c>
    </row>
    <row r="3" spans="1:13" x14ac:dyDescent="0.25">
      <c r="A3" t="s">
        <v>3</v>
      </c>
      <c r="B3" s="2">
        <v>43132</v>
      </c>
      <c r="C3" s="2">
        <v>43160</v>
      </c>
      <c r="D3">
        <v>20</v>
      </c>
      <c r="E3">
        <v>2</v>
      </c>
      <c r="F3" t="s">
        <v>10</v>
      </c>
      <c r="G3">
        <f>SUMIF(Received_6409,E3,Quantity)</f>
        <v>8</v>
      </c>
      <c r="H3">
        <f>D3-G3</f>
        <v>12</v>
      </c>
      <c r="I3" t="s">
        <v>21</v>
      </c>
      <c r="J3">
        <v>1</v>
      </c>
      <c r="M3">
        <v>2</v>
      </c>
    </row>
    <row r="4" spans="1:13" x14ac:dyDescent="0.25">
      <c r="A4" t="s">
        <v>3</v>
      </c>
      <c r="B4" s="2">
        <v>43160</v>
      </c>
      <c r="C4" s="2">
        <v>43191</v>
      </c>
      <c r="D4">
        <v>15</v>
      </c>
      <c r="E4">
        <v>3</v>
      </c>
      <c r="F4" t="s">
        <v>12</v>
      </c>
      <c r="G4">
        <f>SUMIF(Received_6409,E4,Quantity)</f>
        <v>10</v>
      </c>
      <c r="H4">
        <f>D4-G4</f>
        <v>5</v>
      </c>
      <c r="I4" t="s">
        <v>21</v>
      </c>
      <c r="J4">
        <v>2</v>
      </c>
      <c r="M4">
        <v>3</v>
      </c>
    </row>
    <row r="5" spans="1:13" x14ac:dyDescent="0.25">
      <c r="A5" t="s">
        <v>10</v>
      </c>
      <c r="B5" s="2">
        <v>43132</v>
      </c>
      <c r="C5" s="2">
        <v>43160</v>
      </c>
      <c r="D5">
        <v>10</v>
      </c>
      <c r="E5">
        <v>4</v>
      </c>
      <c r="F5" t="s">
        <v>3</v>
      </c>
      <c r="G5" s="3">
        <f>SUMIF(Received_6409,E5,Quantity)</f>
        <v>2</v>
      </c>
      <c r="H5">
        <f>D5-G5</f>
        <v>8</v>
      </c>
      <c r="I5" t="s">
        <v>22</v>
      </c>
      <c r="J5">
        <v>3</v>
      </c>
      <c r="M5">
        <v>4</v>
      </c>
    </row>
    <row r="6" spans="1:13" x14ac:dyDescent="0.25">
      <c r="A6" t="s">
        <v>10</v>
      </c>
      <c r="B6" s="2">
        <v>43161</v>
      </c>
      <c r="C6" s="2">
        <v>43191</v>
      </c>
      <c r="D6">
        <v>30</v>
      </c>
      <c r="E6">
        <v>5</v>
      </c>
      <c r="F6" t="s">
        <v>10</v>
      </c>
      <c r="G6" s="3">
        <f>SUMIF(Received_6409,E6,Quantity)</f>
        <v>10</v>
      </c>
      <c r="H6">
        <f>D6-G6</f>
        <v>20</v>
      </c>
      <c r="I6" t="s">
        <v>22</v>
      </c>
      <c r="J6">
        <v>2</v>
      </c>
      <c r="M6">
        <v>5</v>
      </c>
    </row>
  </sheetData>
  <dataConsolidate/>
  <pageMargins left="0.7" right="0.7" top="0.75" bottom="0.75" header="0.3" footer="0.3"/>
  <pageSetup orientation="portrait" horizontalDpi="4294967293" verticalDpi="4294967293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Control!$G$2:$G$27</xm:f>
          </x14:formula1>
          <xm:sqref>F1:F6</xm:sqref>
        </x14:dataValidation>
        <x14:dataValidation type="list" allowBlank="1" showInputMessage="1" showErrorMessage="1">
          <x14:formula1>
            <xm:f>Control!$C$2:$C$8</xm:f>
          </x14:formula1>
          <xm:sqref>I1:I6</xm:sqref>
        </x14:dataValidation>
        <x14:dataValidation type="list" allowBlank="1" showInputMessage="1" showErrorMessage="1">
          <x14:formula1>
            <xm:f>Control!$E$2:$E$8</xm:f>
          </x14:formula1>
          <xm:sqref>J1:J6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9"/>
  <sheetViews>
    <sheetView tabSelected="1" workbookViewId="0">
      <selection activeCell="O1" sqref="O1"/>
    </sheetView>
  </sheetViews>
  <sheetFormatPr defaultRowHeight="15" x14ac:dyDescent="0.25"/>
  <cols>
    <col min="4" max="5" width="9.7109375" bestFit="1" customWidth="1"/>
    <col min="10" max="10" width="14.85546875" customWidth="1"/>
    <col min="12" max="12" width="10.85546875" customWidth="1"/>
    <col min="15" max="15" width="15" bestFit="1" customWidth="1"/>
  </cols>
  <sheetData>
    <row r="1" spans="1:15" ht="30" x14ac:dyDescent="0.25">
      <c r="A1" s="1" t="s">
        <v>0</v>
      </c>
      <c r="B1" s="1" t="s">
        <v>6</v>
      </c>
      <c r="C1" s="1" t="s">
        <v>17</v>
      </c>
      <c r="D1" s="1" t="s">
        <v>7</v>
      </c>
      <c r="E1" s="1" t="s">
        <v>8</v>
      </c>
      <c r="F1" s="1" t="s">
        <v>9</v>
      </c>
      <c r="I1" t="s">
        <v>11</v>
      </c>
      <c r="J1" s="1" t="s">
        <v>7</v>
      </c>
      <c r="K1" t="s">
        <v>8</v>
      </c>
      <c r="L1" t="s">
        <v>9</v>
      </c>
      <c r="O1" t="s">
        <v>7</v>
      </c>
    </row>
    <row r="2" spans="1:15" x14ac:dyDescent="0.25">
      <c r="A2" t="s">
        <v>3</v>
      </c>
      <c r="B2">
        <v>1</v>
      </c>
      <c r="D2">
        <v>9</v>
      </c>
      <c r="E2" s="2">
        <v>43160</v>
      </c>
      <c r="F2">
        <v>2</v>
      </c>
      <c r="I2" t="s">
        <v>3</v>
      </c>
      <c r="J2">
        <v>1</v>
      </c>
      <c r="K2" s="2">
        <v>43160</v>
      </c>
      <c r="L2">
        <v>7</v>
      </c>
      <c r="O2">
        <v>1</v>
      </c>
    </row>
    <row r="3" spans="1:15" x14ac:dyDescent="0.25">
      <c r="A3" t="s">
        <v>3</v>
      </c>
      <c r="B3">
        <v>1</v>
      </c>
      <c r="D3">
        <v>9</v>
      </c>
      <c r="E3" s="2">
        <v>43160</v>
      </c>
      <c r="F3">
        <v>4</v>
      </c>
      <c r="O3">
        <v>2</v>
      </c>
    </row>
    <row r="4" spans="1:15" x14ac:dyDescent="0.25">
      <c r="A4" t="s">
        <v>3</v>
      </c>
      <c r="B4">
        <v>1</v>
      </c>
      <c r="D4">
        <v>7</v>
      </c>
      <c r="E4" s="2">
        <v>43174</v>
      </c>
      <c r="F4">
        <v>2</v>
      </c>
      <c r="O4">
        <v>3</v>
      </c>
    </row>
    <row r="5" spans="1:15" x14ac:dyDescent="0.25">
      <c r="A5" t="s">
        <v>3</v>
      </c>
      <c r="B5">
        <v>3</v>
      </c>
      <c r="D5">
        <v>8</v>
      </c>
      <c r="E5" s="2">
        <v>43191</v>
      </c>
      <c r="F5">
        <v>10</v>
      </c>
      <c r="O5">
        <v>4</v>
      </c>
    </row>
    <row r="6" spans="1:15" x14ac:dyDescent="0.25">
      <c r="A6" t="s">
        <v>10</v>
      </c>
      <c r="B6">
        <v>4</v>
      </c>
      <c r="D6">
        <v>2</v>
      </c>
      <c r="E6" s="2">
        <v>43160</v>
      </c>
      <c r="F6">
        <v>2</v>
      </c>
    </row>
    <row r="7" spans="1:15" x14ac:dyDescent="0.25">
      <c r="A7" t="s">
        <v>3</v>
      </c>
      <c r="B7">
        <v>2</v>
      </c>
      <c r="C7" t="s">
        <v>10</v>
      </c>
      <c r="D7" t="s">
        <v>47</v>
      </c>
      <c r="E7" s="2">
        <v>43272</v>
      </c>
      <c r="F7">
        <v>5</v>
      </c>
    </row>
    <row r="8" spans="1:15" x14ac:dyDescent="0.25">
      <c r="A8" t="s">
        <v>10</v>
      </c>
      <c r="B8">
        <v>5</v>
      </c>
      <c r="C8" t="s">
        <v>10</v>
      </c>
      <c r="D8" t="s">
        <v>51</v>
      </c>
      <c r="E8" s="2">
        <v>43277</v>
      </c>
      <c r="F8">
        <v>10</v>
      </c>
    </row>
    <row r="9" spans="1:15" x14ac:dyDescent="0.25">
      <c r="A9" t="s">
        <v>3</v>
      </c>
      <c r="B9">
        <v>2</v>
      </c>
      <c r="C9" t="s">
        <v>10</v>
      </c>
      <c r="D9" t="s">
        <v>51</v>
      </c>
      <c r="E9" s="2">
        <v>43277</v>
      </c>
      <c r="F9">
        <v>3</v>
      </c>
    </row>
  </sheetData>
  <dataConsolidate/>
  <pageMargins left="0.7" right="0.7" top="0.75" bottom="0.75" header="0.3" footer="0.3"/>
  <pageSetup orientation="portrait" horizontalDpi="4294967293" verticalDpi="4294967293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7"/>
  <sheetViews>
    <sheetView workbookViewId="0">
      <selection activeCell="N4" sqref="N4"/>
    </sheetView>
  </sheetViews>
  <sheetFormatPr defaultRowHeight="15" x14ac:dyDescent="0.25"/>
  <cols>
    <col min="3" max="3" width="10.5703125" style="8" customWidth="1"/>
    <col min="5" max="5" width="13.5703125" style="8" customWidth="1"/>
  </cols>
  <sheetData>
    <row r="1" spans="1:7" x14ac:dyDescent="0.25">
      <c r="A1" t="s">
        <v>11</v>
      </c>
      <c r="C1" s="8" t="s">
        <v>18</v>
      </c>
      <c r="E1" s="8" t="s">
        <v>20</v>
      </c>
      <c r="G1" t="s">
        <v>17</v>
      </c>
    </row>
    <row r="2" spans="1:7" x14ac:dyDescent="0.25">
      <c r="A2" t="s">
        <v>3</v>
      </c>
      <c r="C2" s="8" t="s">
        <v>21</v>
      </c>
      <c r="E2" s="8">
        <v>1</v>
      </c>
      <c r="G2" t="s">
        <v>3</v>
      </c>
    </row>
    <row r="3" spans="1:7" x14ac:dyDescent="0.25">
      <c r="A3" t="s">
        <v>10</v>
      </c>
      <c r="C3" s="8" t="s">
        <v>22</v>
      </c>
      <c r="E3" s="8">
        <v>2</v>
      </c>
      <c r="G3" t="s">
        <v>10</v>
      </c>
    </row>
    <row r="4" spans="1:7" x14ac:dyDescent="0.25">
      <c r="A4" t="s">
        <v>12</v>
      </c>
      <c r="C4" s="8" t="s">
        <v>23</v>
      </c>
      <c r="E4" s="8">
        <v>3</v>
      </c>
      <c r="G4" t="s">
        <v>12</v>
      </c>
    </row>
    <row r="5" spans="1:7" x14ac:dyDescent="0.25">
      <c r="A5" t="s">
        <v>13</v>
      </c>
      <c r="C5" s="8" t="s">
        <v>24</v>
      </c>
      <c r="E5" s="8">
        <v>4</v>
      </c>
      <c r="G5" t="s">
        <v>13</v>
      </c>
    </row>
    <row r="6" spans="1:7" x14ac:dyDescent="0.25">
      <c r="A6" t="s">
        <v>14</v>
      </c>
      <c r="C6" s="8" t="s">
        <v>25</v>
      </c>
      <c r="E6" s="8">
        <v>5</v>
      </c>
      <c r="G6" t="s">
        <v>14</v>
      </c>
    </row>
    <row r="7" spans="1:7" x14ac:dyDescent="0.25">
      <c r="A7" t="s">
        <v>15</v>
      </c>
      <c r="C7" s="8" t="s">
        <v>26</v>
      </c>
      <c r="E7" s="8">
        <v>6</v>
      </c>
      <c r="G7" t="s">
        <v>15</v>
      </c>
    </row>
    <row r="8" spans="1:7" x14ac:dyDescent="0.25">
      <c r="A8" t="s">
        <v>16</v>
      </c>
      <c r="C8" s="8" t="s">
        <v>27</v>
      </c>
      <c r="E8" s="8">
        <v>7</v>
      </c>
      <c r="G8" t="s">
        <v>16</v>
      </c>
    </row>
    <row r="9" spans="1:7" x14ac:dyDescent="0.25">
      <c r="G9" t="s">
        <v>28</v>
      </c>
    </row>
    <row r="10" spans="1:7" x14ac:dyDescent="0.25">
      <c r="G10" t="s">
        <v>29</v>
      </c>
    </row>
    <row r="11" spans="1:7" x14ac:dyDescent="0.25">
      <c r="G11" t="s">
        <v>30</v>
      </c>
    </row>
    <row r="12" spans="1:7" x14ac:dyDescent="0.25">
      <c r="G12" t="s">
        <v>31</v>
      </c>
    </row>
    <row r="13" spans="1:7" x14ac:dyDescent="0.25">
      <c r="G13" t="s">
        <v>46</v>
      </c>
    </row>
    <row r="14" spans="1:7" x14ac:dyDescent="0.25">
      <c r="G14" t="s">
        <v>32</v>
      </c>
    </row>
    <row r="15" spans="1:7" x14ac:dyDescent="0.25">
      <c r="G15" t="s">
        <v>33</v>
      </c>
    </row>
    <row r="16" spans="1:7" x14ac:dyDescent="0.25">
      <c r="G16" t="s">
        <v>34</v>
      </c>
    </row>
    <row r="17" spans="7:7" x14ac:dyDescent="0.25">
      <c r="G17" t="s">
        <v>35</v>
      </c>
    </row>
    <row r="18" spans="7:7" x14ac:dyDescent="0.25">
      <c r="G18" t="s">
        <v>36</v>
      </c>
    </row>
    <row r="19" spans="7:7" x14ac:dyDescent="0.25">
      <c r="G19" t="s">
        <v>37</v>
      </c>
    </row>
    <row r="20" spans="7:7" x14ac:dyDescent="0.25">
      <c r="G20" t="s">
        <v>38</v>
      </c>
    </row>
    <row r="21" spans="7:7" x14ac:dyDescent="0.25">
      <c r="G21" t="s">
        <v>39</v>
      </c>
    </row>
    <row r="22" spans="7:7" x14ac:dyDescent="0.25">
      <c r="G22" t="s">
        <v>40</v>
      </c>
    </row>
    <row r="23" spans="7:7" x14ac:dyDescent="0.25">
      <c r="G23" t="s">
        <v>41</v>
      </c>
    </row>
    <row r="24" spans="7:7" x14ac:dyDescent="0.25">
      <c r="G24" t="s">
        <v>42</v>
      </c>
    </row>
    <row r="25" spans="7:7" x14ac:dyDescent="0.25">
      <c r="G25" t="s">
        <v>43</v>
      </c>
    </row>
    <row r="26" spans="7:7" x14ac:dyDescent="0.25">
      <c r="G26" t="s">
        <v>44</v>
      </c>
    </row>
    <row r="27" spans="7:7" x14ac:dyDescent="0.25">
      <c r="G27" t="s">
        <v>45</v>
      </c>
    </row>
  </sheetData>
  <pageMargins left="0.7" right="0.7" top="0.75" bottom="0.75" header="0.3" footer="0.3"/>
  <pageSetup orientation="portrait" horizontalDpi="4294967293" verticalDpi="4294967293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66A079-2B18-47BC-A560-5325923DA6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Options</vt:lpstr>
      <vt:lpstr>Receipts</vt:lpstr>
      <vt:lpstr>Shipped</vt:lpstr>
      <vt:lpstr>Control</vt:lpstr>
      <vt:lpstr>Item</vt:lpstr>
      <vt:lpstr>Quantity</vt:lpstr>
      <vt:lpstr>Received</vt:lpstr>
      <vt:lpstr>Received_6409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Morgan Bell</dc:creator>
  <cp:lastModifiedBy>Bell, Morgan</cp:lastModifiedBy>
  <dcterms:created xsi:type="dcterms:W3CDTF">2018-06-08T20:39:31Z</dcterms:created>
  <dcterms:modified xsi:type="dcterms:W3CDTF">2018-06-26T16:30:24Z</dcterms:modified>
</cp:coreProperties>
</file>