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"/>
    </mc:Choice>
  </mc:AlternateContent>
  <xr:revisionPtr revIDLastSave="0" documentId="13_ncr:1_{9329E413-7355-43FB-8B5B-B655B3857A29}" xr6:coauthVersionLast="33" xr6:coauthVersionMax="33" xr10:uidLastSave="{00000000-0000-0000-0000-000000000000}"/>
  <bookViews>
    <workbookView xWindow="0" yWindow="0" windowWidth="25200" windowHeight="12360" xr2:uid="{7F528588-5669-44F5-BF2A-CD8CB76A1C31}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Sheet2!$A$7:$G$10</definedName>
    <definedName name="_xlnm.Criteria" localSheetId="1">Sheet2!$A$1:$B$2</definedName>
    <definedName name="_xlnm.Extract" localSheetId="1">Sheet2!$A$7:$G$7</definedName>
    <definedName name="Item">Table2[Item]</definedName>
    <definedName name="Quantity">Table3[Quantity]</definedName>
    <definedName name="Received">Sheet1!$A$1:$G$6</definedName>
    <definedName name="Received_6409">Table3[Received 6409]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G6" i="1" s="1"/>
  <c r="F5" i="1"/>
  <c r="G5" i="1" s="1"/>
  <c r="F2" i="1"/>
  <c r="G2" i="1" s="1"/>
  <c r="F3" i="1"/>
  <c r="G3" i="1" s="1"/>
  <c r="F4" i="1"/>
  <c r="G4" i="1" s="1"/>
</calcChain>
</file>

<file path=xl/sharedStrings.xml><?xml version="1.0" encoding="utf-8"?>
<sst xmlns="http://schemas.openxmlformats.org/spreadsheetml/2006/main" count="31" uniqueCount="18">
  <si>
    <t>item</t>
  </si>
  <si>
    <t>date</t>
  </si>
  <si>
    <t>expiration  date</t>
  </si>
  <si>
    <t>Quantity Received</t>
  </si>
  <si>
    <t>a</t>
  </si>
  <si>
    <t>Quantity Consumed</t>
  </si>
  <si>
    <t>Quantity Available</t>
  </si>
  <si>
    <t>Received 6409</t>
  </si>
  <si>
    <t>Shipped 6409</t>
  </si>
  <si>
    <t>Date</t>
  </si>
  <si>
    <t>Quantity</t>
  </si>
  <si>
    <t>b</t>
  </si>
  <si>
    <t>Item</t>
  </si>
  <si>
    <t>c</t>
  </si>
  <si>
    <t>d</t>
  </si>
  <si>
    <t>e</t>
  </si>
  <si>
    <t>f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</si>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</sst>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</cellXfs>
  <cellStyles count="1">
    <cellStyle name="Normal" xfId="0" builtinId="0"/>
  </cellStyles>
  <dxfs count="6">
    <dxf>
      <numFmt numFmtId="19" formatCode="m/d/yyyy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0</xdr:row>
          <xdr:rowOff>76200</xdr:rowOff>
        </xdr:from>
        <xdr:to>
          <xdr:col>11</xdr:col>
          <xdr:colOff>990600</xdr:colOff>
          <xdr:row>1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ListBox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6D4C5D-54E1-4BEB-87D6-9D854B804FC8}" name="Table1" displayName="Table1" ref="A1:G6" totalsRowShown="0" headerRowDxfId="5">
  <autoFilter ref="A1:G6" xr:uid="{A98F125C-C7CB-4866-BD4C-705DFC517DB9}"/>
  <tableColumns count="7">
    <tableColumn id="1" xr3:uid="{6485DBA4-7482-4F5A-98DF-57DB81A2950E}" name="item"/>
    <tableColumn id="2" xr3:uid="{67682EB1-D26B-4AAA-A98B-B8F172AF2864}" name="date" dataDxfId="4"/>
    <tableColumn id="3" xr3:uid="{BF525AB6-B9FD-4222-8AD0-593CB28B1FF6}" name="expiration  date" dataDxfId="3"/>
    <tableColumn id="4" xr3:uid="{45622A93-1837-4CD1-8143-8FCC99078F49}" name="Quantity Received"/>
    <tableColumn id="5" xr3:uid="{F51D28E4-3E95-4057-A8A3-36A20F9A0691}" name="Received 6409"/>
    <tableColumn id="6" xr3:uid="{DDF1F034-855B-4D6B-B4B8-129CCC5A2C7A}" name="Quantity Consumed" dataDxfId="2">
      <calculatedColumnFormula>SUMIF(Received_6409,E2,Quantity)</calculatedColumnFormula>
    </tableColumn>
    <tableColumn id="7" xr3:uid="{49D895F4-5524-43F6-BE1E-7FA5DCDB4F2C}" name="Quantity Available">
      <calculatedColumnFormula>D2-F2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197226-E26C-421B-9F93-EF18BF5916C7}" name="Table3" displayName="Table3" ref="K1:O7" totalsRowShown="0" headerRowDxfId="1">
  <autoFilter ref="K1:O7" xr:uid="{7F3A76AD-AAD3-4B06-B270-47D8004922CB}"/>
  <tableColumns count="5">
    <tableColumn id="1" xr3:uid="{8B321A8F-268E-436A-9920-ED9D817C7B09}" name="item"/>
    <tableColumn id="2" xr3:uid="{2B305A59-B504-47C5-A7E8-5E9458686654}" name="Received 6409"/>
    <tableColumn id="3" xr3:uid="{70F20597-7AA5-40CC-9EAA-33E57C6187A8}" name="Shipped 6409"/>
    <tableColumn id="4" xr3:uid="{2E368109-B7B6-45F2-97CF-6201D2695096}" name="Date" dataDxfId="0"/>
    <tableColumn id="5" xr3:uid="{A7468D12-FC72-4601-982D-3A7D268E053A}" name="Quantit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AA558F-0A06-421F-BB9D-DA3EFB035E4E}" name="Table2" displayName="Table2" ref="E1:E8" totalsRowShown="0">
  <autoFilter ref="E1:E8" xr:uid="{7A9A9622-E6CF-4F14-976A-2931C1BB339E}"/>
  <tableColumns count="1">
    <tableColumn id="1" xr3:uid="{31287E12-BF1A-4B92-9710-40D371E01199}" name="I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5E6A8-F2F3-4F36-8AC0-DF68896BD7A4}">
  <sheetPr codeName="Sheet1"/>
  <dimension ref="A1:H6"/>
  <sheetViews>
    <sheetView tabSelected="1" workbookViewId="0">
      <selection activeCell="G2" sqref="G2"/>
    </sheetView>
  </sheetViews>
  <sheetFormatPr defaultRowHeight="15" x14ac:dyDescent="0.25"/>
  <cols>
    <col min="3" max="3" width="17.140625" customWidth="1"/>
    <col min="4" max="4" width="19.42578125" customWidth="1"/>
    <col min="5" max="5" width="15.7109375" customWidth="1"/>
    <col min="6" max="6" width="20.7109375" customWidth="1"/>
    <col min="7" max="8" width="19.5703125" customWidth="1"/>
    <col min="12" max="12" width="15.7109375" customWidth="1"/>
    <col min="13" max="13" width="14.85546875" customWidth="1"/>
    <col min="14" max="14" width="9.7109375" bestFit="1" customWidth="1"/>
    <col min="15" max="15" width="10.85546875" customWidth="1"/>
  </cols>
  <sheetData>
    <row r="1" spans="1:8" ht="27" customHeight="1" x14ac:dyDescent="0.25">
      <c r="A1" s="1" t="s">
        <v>0</v>
      </c>
      <c r="B1" s="1" t="s">
        <v>1</v>
      </c>
      <c r="C1" s="4" t="s">
        <v>2</v>
      </c>
      <c r="D1" s="4" t="s">
        <v>3</v>
      </c>
      <c r="E1" s="4" t="s">
        <v>7</v>
      </c>
      <c r="F1" s="4" t="s">
        <v>5</v>
      </c>
      <c r="G1" s="4" t="s">
        <v>6</v>
      </c>
      <c r="H1" s="1"/>
    </row>
    <row r="2" spans="1:8" x14ac:dyDescent="0.25">
      <c r="A2" t="s">
        <v>4</v>
      </c>
      <c r="B2" s="2">
        <v>43101</v>
      </c>
      <c r="C2" s="2">
        <v>43132</v>
      </c>
      <c r="D2">
        <v>10</v>
      </c>
      <c r="E2">
        <v>1</v>
      </c>
      <c r="F2">
        <f>SUMIF(Received_6409,E2,Quantity)</f>
        <v>9</v>
      </c>
      <c r="G2">
        <f>D2-F2</f>
        <v>1</v>
      </c>
    </row>
    <row r="3" spans="1:8" x14ac:dyDescent="0.25">
      <c r="A3" t="s">
        <v>4</v>
      </c>
      <c r="B3" s="2">
        <v>43132</v>
      </c>
      <c r="C3" s="2">
        <v>43160</v>
      </c>
      <c r="D3">
        <v>20</v>
      </c>
      <c r="E3">
        <v>2</v>
      </c>
      <c r="F3">
        <f>SUMIF(Received_6409,E3,Quantity)</f>
        <v>5</v>
      </c>
      <c r="G3">
        <f>D3-F3</f>
        <v>15</v>
      </c>
    </row>
    <row r="4" spans="1:8" x14ac:dyDescent="0.25">
      <c r="A4" t="s">
        <v>4</v>
      </c>
      <c r="B4" s="2">
        <v>43160</v>
      </c>
      <c r="C4" s="2">
        <v>43191</v>
      </c>
      <c r="D4">
        <v>15</v>
      </c>
      <c r="E4">
        <v>3</v>
      </c>
      <c r="F4">
        <f>SUMIF(Received_6409,E4,Quantity)</f>
        <v>10</v>
      </c>
      <c r="G4">
        <f>D4-F4</f>
        <v>5</v>
      </c>
    </row>
    <row r="5" spans="1:8" x14ac:dyDescent="0.25">
      <c r="A5" t="s">
        <v>11</v>
      </c>
      <c r="B5" s="2">
        <v>43132</v>
      </c>
      <c r="C5" s="2">
        <v>43160</v>
      </c>
      <c r="D5">
        <v>10</v>
      </c>
      <c r="E5">
        <v>4</v>
      </c>
      <c r="F5" s="3">
        <f>SUMIF(Received_6409,E5,Quantity)</f>
        <v>2</v>
      </c>
      <c r="G5">
        <f>D5-F5</f>
        <v>8</v>
      </c>
    </row>
    <row r="6" spans="1:8" x14ac:dyDescent="0.25">
      <c r="A6" t="s">
        <v>11</v>
      </c>
      <c r="B6" s="2">
        <v>43161</v>
      </c>
      <c r="C6" s="2">
        <v>43191</v>
      </c>
      <c r="D6">
        <v>30</v>
      </c>
      <c r="E6">
        <v>5</v>
      </c>
      <c r="F6" s="3">
        <f>SUMIF(Received_6409,E6,Quantity)</f>
        <v>0</v>
      </c>
      <c r="G6">
        <f>D6-F6</f>
        <v>30</v>
      </c>
    </row>
  </sheetData>
  <dataConsolidate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List">
                <anchor moveWithCells="1" sizeWithCells="1">
                  <from>
                    <xdr:col>9</xdr:col>
                    <xdr:colOff>590550</xdr:colOff>
                    <xdr:row>0</xdr:row>
                    <xdr:rowOff>76200</xdr:rowOff>
                  </from>
                  <to>
                    <xdr:col>11</xdr:col>
                    <xdr:colOff>990600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D1344-7ACE-4ED2-A150-7CA920B5858D}">
  <sheetPr codeName="Sheet2"/>
  <dimension ref="K1:O7"/>
  <sheetViews>
    <sheetView workbookViewId="0">
      <selection activeCell="O8" sqref="O8"/>
    </sheetView>
  </sheetViews>
  <sheetFormatPr defaultRowHeight="15" x14ac:dyDescent="0.25"/>
  <cols>
    <col min="2" max="2" width="19.5703125" customWidth="1"/>
    <col min="6" max="6" width="10.85546875" customWidth="1"/>
    <col min="14" max="14" width="9.7109375" bestFit="1" customWidth="1"/>
  </cols>
  <sheetData>
    <row r="1" spans="11:15" ht="30" x14ac:dyDescent="0.25">
      <c r="K1" s="1" t="s">
        <v>0</v>
      </c>
      <c r="L1" s="1" t="s">
        <v>7</v>
      </c>
      <c r="M1" s="1" t="s">
        <v>8</v>
      </c>
      <c r="N1" s="1" t="s">
        <v>9</v>
      </c>
      <c r="O1" s="1" t="s">
        <v>10</v>
      </c>
    </row>
    <row r="2" spans="11:15" x14ac:dyDescent="0.25">
      <c r="K2" t="s">
        <v>4</v>
      </c>
      <c r="L2">
        <v>1</v>
      </c>
      <c r="M2">
        <v>9</v>
      </c>
      <c r="N2" s="2">
        <v>43160</v>
      </c>
      <c r="O2">
        <v>3</v>
      </c>
    </row>
    <row r="3" spans="11:15" x14ac:dyDescent="0.25">
      <c r="K3" t="s">
        <v>4</v>
      </c>
      <c r="L3">
        <v>1</v>
      </c>
      <c r="M3">
        <v>6</v>
      </c>
      <c r="N3" s="2">
        <v>43191</v>
      </c>
      <c r="O3">
        <v>4</v>
      </c>
    </row>
    <row r="4" spans="11:15" x14ac:dyDescent="0.25">
      <c r="K4" t="s">
        <v>4</v>
      </c>
      <c r="L4">
        <v>1</v>
      </c>
      <c r="M4">
        <v>7</v>
      </c>
      <c r="N4" s="2">
        <v>43174</v>
      </c>
      <c r="O4">
        <v>2</v>
      </c>
    </row>
    <row r="5" spans="11:15" x14ac:dyDescent="0.25">
      <c r="K5" t="s">
        <v>4</v>
      </c>
      <c r="L5">
        <v>2</v>
      </c>
      <c r="M5">
        <v>5</v>
      </c>
      <c r="N5" s="2">
        <v>43132</v>
      </c>
      <c r="O5">
        <v>5</v>
      </c>
    </row>
    <row r="6" spans="11:15" x14ac:dyDescent="0.25">
      <c r="K6" t="s">
        <v>4</v>
      </c>
      <c r="L6">
        <v>3</v>
      </c>
      <c r="M6">
        <v>8</v>
      </c>
      <c r="N6" s="2">
        <v>43191</v>
      </c>
      <c r="O6">
        <v>10</v>
      </c>
    </row>
    <row r="7" spans="11:15" x14ac:dyDescent="0.25">
      <c r="K7" t="s">
        <v>11</v>
      </c>
      <c r="L7">
        <v>4</v>
      </c>
      <c r="M7">
        <v>2</v>
      </c>
      <c r="N7" s="2">
        <v>43160</v>
      </c>
      <c r="O7">
        <v>2</v>
      </c>
    </row>
  </sheetData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ADCB-6B25-4B64-81DE-901C7BB754AD}">
  <sheetPr codeName="Sheet3"/>
  <dimension ref="E1:E8"/>
  <sheetViews>
    <sheetView workbookViewId="0">
      <selection activeCell="E1" sqref="E1:E8"/>
    </sheetView>
  </sheetViews>
  <sheetFormatPr defaultRowHeight="15" x14ac:dyDescent="0.25"/>
  <sheetData>
    <row r="1" spans="5:5" x14ac:dyDescent="0.25">
      <c r="E1" t="s">
        <v>12</v>
      </c>
    </row>
    <row r="2" spans="5:5" x14ac:dyDescent="0.25">
      <c r="E2" t="s">
        <v>4</v>
      </c>
    </row>
    <row r="3" spans="5:5" x14ac:dyDescent="0.25">
      <c r="E3" t="s">
        <v>11</v>
      </c>
    </row>
    <row r="4" spans="5:5" x14ac:dyDescent="0.25">
      <c r="E4" t="s">
        <v>13</v>
      </c>
    </row>
    <row r="5" spans="5:5" x14ac:dyDescent="0.25">
      <c r="E5" t="s">
        <v>14</v>
      </c>
    </row>
    <row r="6" spans="5:5" x14ac:dyDescent="0.25">
      <c r="E6" t="s">
        <v>15</v>
      </c>
    </row>
    <row r="7" spans="5:5" x14ac:dyDescent="0.25">
      <c r="E7" t="s">
        <v>16</v>
      </c>
    </row>
    <row r="8" spans="5:5" x14ac:dyDescent="0.25">
      <c r="E8" t="s">
        <v>17</v>
      </c>
    </row>
  </sheetData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66A079-2B18-47BC-A560-5325923DA6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Sheet1</vt:lpstr>
      <vt:lpstr>Sheet2</vt:lpstr>
      <vt:lpstr>Sheet3</vt:lpstr>
      <vt:lpstr>Sheet2!Criteria</vt:lpstr>
      <vt:lpstr>Sheet2!Extract</vt:lpstr>
      <vt:lpstr>Item</vt:lpstr>
      <vt:lpstr>Quantity</vt:lpstr>
      <vt:lpstr>Received</vt:lpstr>
      <vt:lpstr>Received_6409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Morgan Bell</cp:lastModifiedBy>
  <dcterms:created xsi:type="dcterms:W3CDTF">2018-06-08T20:39:31Z</dcterms:created>
  <dcterms:modified xsi:type="dcterms:W3CDTF">2018-06-14T15:39:57Z</dcterms:modified>
</cp:coreProperties>
</file>