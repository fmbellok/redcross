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\VBAInventory\"/>
    </mc:Choice>
  </mc:AlternateContent>
  <xr:revisionPtr revIDLastSave="0" documentId="13_ncr:1_{0A373438-87F5-483D-B1EF-2D935DC30AA0}" xr6:coauthVersionLast="34" xr6:coauthVersionMax="34" xr10:uidLastSave="{00000000-0000-0000-0000-000000000000}"/>
  <bookViews>
    <workbookView xWindow="0" yWindow="0" windowWidth="21120" windowHeight="12360" activeTab="3" xr2:uid="{00000000-000D-0000-FFFF-FFFF00000000}"/>
  </bookViews>
  <sheets>
    <sheet name="Options" sheetId="4" r:id="rId1"/>
    <sheet name="Test" sheetId="5" r:id="rId2"/>
    <sheet name="Receipts" sheetId="1" r:id="rId3"/>
    <sheet name="Shipped" sheetId="2" r:id="rId4"/>
    <sheet name="Control" sheetId="3" r:id="rId5"/>
  </sheets>
  <functionGroups builtInGroupCount="19"/>
  <definedNames>
    <definedName name="_xlnm._FilterDatabase" localSheetId="3" hidden="1">Shipped!#REF!</definedName>
    <definedName name="Item">Table2[Item]</definedName>
    <definedName name="Quantity">Pulled[Quantity]</definedName>
    <definedName name="Received">Receipts!$A$1:$H$9</definedName>
    <definedName name="Received_6409">Pulled[Received 6409]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H9" i="1" s="1"/>
  <c r="G8" i="1"/>
  <c r="H8" i="1" s="1"/>
  <c r="G7" i="1"/>
  <c r="H7" i="1" s="1"/>
  <c r="G6" i="1" l="1"/>
  <c r="H6" i="1" s="1"/>
  <c r="G5" i="1"/>
  <c r="H5" i="1" s="1"/>
  <c r="G2" i="1"/>
  <c r="H2" i="1" s="1"/>
  <c r="G3" i="1"/>
  <c r="H3" i="1" s="1"/>
  <c r="G4" i="1"/>
  <c r="H4" i="1" s="1"/>
</calcChain>
</file>

<file path=xl/sharedStrings.xml><?xml version="1.0" encoding="utf-8"?>
<sst xmlns="http://schemas.openxmlformats.org/spreadsheetml/2006/main" count="130" uniqueCount="58">
  <si>
    <t>item</t>
  </si>
  <si>
    <t>expiration  date</t>
  </si>
  <si>
    <t>Quantity Received</t>
  </si>
  <si>
    <t>a</t>
  </si>
  <si>
    <t>Quantity Consumed</t>
  </si>
  <si>
    <t>Quantity Available</t>
  </si>
  <si>
    <t>Received 6409</t>
  </si>
  <si>
    <t>Shipped 6409</t>
  </si>
  <si>
    <t>Date</t>
  </si>
  <si>
    <t>Quantity</t>
  </si>
  <si>
    <t>b</t>
  </si>
  <si>
    <t>Item</t>
  </si>
  <si>
    <t>c</t>
  </si>
  <si>
    <t>d</t>
  </si>
  <si>
    <t>e</t>
  </si>
  <si>
    <t>f</t>
  </si>
  <si>
    <t>g</t>
  </si>
  <si>
    <t>Lot</t>
  </si>
  <si>
    <t>Location</t>
  </si>
  <si>
    <t>date received</t>
  </si>
  <si>
    <t>Sublocation</t>
  </si>
  <si>
    <t>aa</t>
  </si>
  <si>
    <t>bb</t>
  </si>
  <si>
    <t>cc</t>
  </si>
  <si>
    <t>dd</t>
  </si>
  <si>
    <t>ee</t>
  </si>
  <si>
    <t>ff</t>
  </si>
  <si>
    <t>gg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</si>
  <si>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</si>
  <si>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</si>
  <si>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</si>
  <si>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</si>
  <si>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</si>
  <si>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</si>
  <si>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</si>
  <si>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</si>
  <si>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</si>
  <si>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</si>
  <si>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</si>
  <si>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</si>
  <si>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</si>
  <si>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</si>
  <si>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</si>
  <si>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</si>
  <si>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</si>
  <si>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</si>
  <si>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</t>
  </si>
  <si>
    <t>Receipt Options</t>
  </si>
  <si>
    <t>Ship Options</t>
  </si>
  <si>
    <t>Receipt 6409</t>
  </si>
  <si>
    <t>First</t>
  </si>
  <si>
    <t>Second</t>
  </si>
  <si>
    <t>5</t>
  </si>
  <si>
    <t>2</t>
  </si>
  <si>
    <t>2018070003</t>
  </si>
  <si>
    <t>3</t>
  </si>
  <si>
    <t>4</t>
  </si>
  <si>
    <t>2018070004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</si>
</sst>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/>
    <xf numFmtId="0" fontId="0" fillId="2" borderId="0" xfId="0" applyFill="1"/>
    <xf numFmtId="49" fontId="0" fillId="0" borderId="0" xfId="0" applyNumberFormat="1" applyAlignment="1">
      <alignment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5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3</xdr:row>
          <xdr:rowOff>152400</xdr:rowOff>
        </xdr:from>
        <xdr:to>
          <xdr:col>9</xdr:col>
          <xdr:colOff>552450</xdr:colOff>
          <xdr:row>6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</xdr:row>
          <xdr:rowOff>161925</xdr:rowOff>
        </xdr:from>
        <xdr:to>
          <xdr:col>9</xdr:col>
          <xdr:colOff>600075</xdr:colOff>
          <xdr:row>11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4</xdr:col>
          <xdr:colOff>0</xdr:colOff>
          <xdr:row>6</xdr:row>
          <xdr:rowOff>28575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Receive Receipt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8</xdr:row>
          <xdr:rowOff>180975</xdr:rowOff>
        </xdr:from>
        <xdr:to>
          <xdr:col>3</xdr:col>
          <xdr:colOff>590550</xdr:colOff>
          <xdr:row>11</xdr:row>
          <xdr:rowOff>28575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Receipt Order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C3C0106-2FF3-4ECF-8D45-56F44456EEA9}" name="Test" displayName="Test" ref="A1:B4" totalsRowShown="0">
  <autoFilter ref="A1:B4" xr:uid="{E87FF11F-5C44-430C-9299-C3C5D63C5C12}"/>
  <tableColumns count="2">
    <tableColumn id="1" xr3:uid="{9164682F-16CE-4B5D-8803-5FCAB3796FD6}" name="First"/>
    <tableColumn id="2" xr3:uid="{9443DEE1-7715-42E7-A61B-43224305A78F}" name="Secon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9" totalsRowShown="0" headerRowDxfId="14">
  <autoFilter ref="A1:J9" xr:uid="{00000000-0009-0000-0100-000001000000}"/>
  <tableColumns count="10">
    <tableColumn id="1" xr3:uid="{00000000-0010-0000-0000-000001000000}" name="item"/>
    <tableColumn id="2" xr3:uid="{00000000-0010-0000-0000-000002000000}" name="date received" dataDxfId="13"/>
    <tableColumn id="3" xr3:uid="{00000000-0010-0000-0000-000003000000}" name="expiration  date" dataDxfId="12"/>
    <tableColumn id="4" xr3:uid="{00000000-0010-0000-0000-000004000000}" name="Quantity Received"/>
    <tableColumn id="5" xr3:uid="{00000000-0010-0000-0000-000005000000}" name="Received 6409"/>
    <tableColumn id="8" xr3:uid="{00000000-0010-0000-0000-000008000000}" name="Lot"/>
    <tableColumn id="6" xr3:uid="{00000000-0010-0000-0000-000006000000}" name="Quantity Consumed" dataDxfId="11">
      <calculatedColumnFormula>SUMIF(Received_6409,E2,Quantity)</calculatedColumnFormula>
    </tableColumn>
    <tableColumn id="7" xr3:uid="{00000000-0010-0000-0000-000007000000}" name="Quantity Available">
      <calculatedColumnFormula>D2-G2</calculatedColumnFormula>
    </tableColumn>
    <tableColumn id="10" xr3:uid="{00000000-0010-0000-0000-00000A000000}" name="Location"/>
    <tableColumn id="9" xr3:uid="{00000000-0010-0000-0000-000009000000}" name="Sublo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able9" displayName="Table9" ref="M1:M6" totalsRowShown="0">
  <autoFilter ref="M1:M6" xr:uid="{00000000-0009-0000-0100-000009000000}"/>
  <tableColumns count="1">
    <tableColumn id="1" xr3:uid="{00000000-0010-0000-0100-000001000000}" name="Receipt 640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ulled" displayName="Pulled" ref="A1:F9" totalsRowShown="0" headerRowDxfId="10">
  <autoFilter ref="A1:F9" xr:uid="{00000000-0009-0000-0100-000003000000}"/>
  <tableColumns count="6">
    <tableColumn id="1" xr3:uid="{00000000-0010-0000-0200-000001000000}" name="item" dataDxfId="9"/>
    <tableColumn id="2" xr3:uid="{00000000-0010-0000-0200-000002000000}" name="Received 6409" dataDxfId="8"/>
    <tableColumn id="6" xr3:uid="{00000000-0010-0000-0200-000006000000}" name="Lot" dataDxfId="7"/>
    <tableColumn id="3" xr3:uid="{00000000-0010-0000-0200-000003000000}" name="Shipped 6409" dataDxfId="6"/>
    <tableColumn id="4" xr3:uid="{00000000-0010-0000-0200-000004000000}" name="Date" dataDxfId="5"/>
    <tableColumn id="5" xr3:uid="{00000000-0010-0000-0200-000005000000}" name="Quantit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Shipped" displayName="Shipped" ref="I1:L6" totalsRowShown="0">
  <autoFilter ref="I1:L6" xr:uid="{00000000-0009-0000-0100-000007000000}"/>
  <tableColumns count="4">
    <tableColumn id="1" xr3:uid="{00000000-0010-0000-0300-000001000000}" name="Item"/>
    <tableColumn id="2" xr3:uid="{00000000-0010-0000-0300-000002000000}" name="Shipped 6409"/>
    <tableColumn id="3" xr3:uid="{00000000-0010-0000-0300-000003000000}" name="Date" dataDxfId="4"/>
    <tableColumn id="4" xr3:uid="{00000000-0010-0000-0300-000004000000}" name="Quantit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1:A8" totalsRowShown="0">
  <autoFilter ref="A1:A8" xr:uid="{00000000-0009-0000-0100-000002000000}"/>
  <tableColumns count="1">
    <tableColumn id="1" xr3:uid="{00000000-0010-0000-0400-000001000000}" name="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C1:C8" totalsRowShown="0" headerRowDxfId="3">
  <autoFilter ref="C1:C8" xr:uid="{00000000-0009-0000-0100-000004000000}"/>
  <tableColumns count="1">
    <tableColumn id="1" xr3:uid="{00000000-0010-0000-0500-000001000000}" name="Location" dataDxfId="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5" displayName="Table5" ref="E1:E8" totalsRowShown="0" headerRowDxfId="1">
  <autoFilter ref="E1:E8" xr:uid="{00000000-0009-0000-0100-000005000000}"/>
  <tableColumns count="1">
    <tableColumn id="1" xr3:uid="{00000000-0010-0000-0600-000001000000}" name="Sublocation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G1:G27" totalsRowShown="0">
  <autoFilter ref="G1:G27" xr:uid="{00000000-0009-0000-0100-000006000000}"/>
  <tableColumns count="1">
    <tableColumn id="1" xr3:uid="{00000000-0010-0000-0700-000001000000}" name="Lo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J2"/>
  <sheetViews>
    <sheetView workbookViewId="0">
      <selection activeCell="I14" sqref="I14"/>
    </sheetView>
  </sheetViews>
  <sheetFormatPr defaultRowHeight="15" x14ac:dyDescent="0.25"/>
  <cols>
    <col min="6" max="6" width="9.140625" style="9"/>
  </cols>
  <sheetData>
    <row r="2" spans="2:10" ht="18.75" x14ac:dyDescent="0.3">
      <c r="B2" s="11" t="s">
        <v>47</v>
      </c>
      <c r="C2" s="11"/>
      <c r="D2" s="11"/>
      <c r="H2" s="11" t="s">
        <v>48</v>
      </c>
      <c r="I2" s="11"/>
      <c r="J2" s="11"/>
    </row>
  </sheetData>
  <mergeCells count="2">
    <mergeCell ref="B2:D2"/>
    <mergeCell ref="H2:J2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howList">
                <anchor moveWithCells="1" sizeWithCells="1">
                  <from>
                    <xdr:col>6</xdr:col>
                    <xdr:colOff>581025</xdr:colOff>
                    <xdr:row>3</xdr:row>
                    <xdr:rowOff>152400</xdr:rowOff>
                  </from>
                  <to>
                    <xdr:col>9</xdr:col>
                    <xdr:colOff>552450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testClass">
                <anchor moveWithCells="1" sizeWithCells="1">
                  <from>
                    <xdr:col>7</xdr:col>
                    <xdr:colOff>19050</xdr:colOff>
                    <xdr:row>8</xdr:row>
                    <xdr:rowOff>161925</xdr:rowOff>
                  </from>
                  <to>
                    <xdr:col>9</xdr:col>
                    <xdr:colOff>600075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Hello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4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Hello">
                <anchor moveWithCells="1" sizeWithCells="1">
                  <from>
                    <xdr:col>0</xdr:col>
                    <xdr:colOff>600075</xdr:colOff>
                    <xdr:row>8</xdr:row>
                    <xdr:rowOff>180975</xdr:rowOff>
                  </from>
                  <to>
                    <xdr:col>3</xdr:col>
                    <xdr:colOff>590550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0F666-5753-475A-B900-23F393FBBD0D}">
  <sheetPr codeName="Sheet5"/>
  <dimension ref="A1:B4"/>
  <sheetViews>
    <sheetView workbookViewId="0">
      <selection activeCell="A6" sqref="A6"/>
    </sheetView>
  </sheetViews>
  <sheetFormatPr defaultRowHeight="15" x14ac:dyDescent="0.25"/>
  <cols>
    <col min="2" max="2" width="9.5703125" customWidth="1"/>
  </cols>
  <sheetData>
    <row r="1" spans="1:2" x14ac:dyDescent="0.25">
      <c r="A1" t="s">
        <v>50</v>
      </c>
      <c r="B1" t="s">
        <v>51</v>
      </c>
    </row>
    <row r="2" spans="1:2" x14ac:dyDescent="0.25">
      <c r="A2" t="s">
        <v>3</v>
      </c>
      <c r="B2">
        <v>1</v>
      </c>
    </row>
    <row r="3" spans="1:2" x14ac:dyDescent="0.25">
      <c r="A3" t="s">
        <v>12</v>
      </c>
      <c r="B3">
        <v>6</v>
      </c>
    </row>
    <row r="4" spans="1:2" x14ac:dyDescent="0.25">
      <c r="A4" t="s">
        <v>13</v>
      </c>
      <c r="B4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9"/>
  <sheetViews>
    <sheetView workbookViewId="0">
      <selection activeCell="C1" sqref="C1"/>
    </sheetView>
  </sheetViews>
  <sheetFormatPr defaultRowHeight="15" x14ac:dyDescent="0.25"/>
  <cols>
    <col min="2" max="2" width="10.85546875" customWidth="1"/>
    <col min="3" max="3" width="19.7109375" bestFit="1" customWidth="1"/>
    <col min="4" max="4" width="15.28515625" customWidth="1"/>
    <col min="5" max="5" width="16.28515625" customWidth="1"/>
    <col min="6" max="6" width="15.7109375" customWidth="1"/>
    <col min="7" max="7" width="14.42578125" customWidth="1"/>
    <col min="8" max="8" width="15.42578125" customWidth="1"/>
    <col min="9" max="9" width="19.5703125" customWidth="1"/>
    <col min="10" max="10" width="13.7109375" customWidth="1"/>
    <col min="13" max="13" width="15.7109375" customWidth="1"/>
    <col min="14" max="14" width="14.85546875" customWidth="1"/>
    <col min="15" max="15" width="9.7109375" bestFit="1" customWidth="1"/>
    <col min="16" max="16" width="10.85546875" customWidth="1"/>
  </cols>
  <sheetData>
    <row r="1" spans="1:13" ht="27" customHeight="1" x14ac:dyDescent="0.25">
      <c r="A1" s="1" t="s">
        <v>0</v>
      </c>
      <c r="B1" s="6" t="s">
        <v>19</v>
      </c>
      <c r="C1" s="5" t="s">
        <v>1</v>
      </c>
      <c r="D1" s="7" t="s">
        <v>2</v>
      </c>
      <c r="E1" s="4" t="s">
        <v>6</v>
      </c>
      <c r="F1" s="7" t="s">
        <v>17</v>
      </c>
      <c r="G1" s="7" t="s">
        <v>4</v>
      </c>
      <c r="H1" s="7" t="s">
        <v>5</v>
      </c>
      <c r="I1" s="7" t="s">
        <v>18</v>
      </c>
      <c r="J1" s="4" t="s">
        <v>20</v>
      </c>
      <c r="K1" s="1"/>
      <c r="M1" t="s">
        <v>49</v>
      </c>
    </row>
    <row r="2" spans="1:13" x14ac:dyDescent="0.25">
      <c r="A2" t="s">
        <v>3</v>
      </c>
      <c r="B2" s="2">
        <v>43101</v>
      </c>
      <c r="C2" s="2">
        <v>43132</v>
      </c>
      <c r="D2">
        <v>10</v>
      </c>
      <c r="E2">
        <v>1</v>
      </c>
      <c r="F2" t="s">
        <v>3</v>
      </c>
      <c r="G2">
        <f t="shared" ref="G2:G9" si="0">SUMIF(Received_6409,E2,Quantity)</f>
        <v>7</v>
      </c>
      <c r="H2">
        <f t="shared" ref="H2:H9" si="1">D2-G2</f>
        <v>3</v>
      </c>
      <c r="I2" t="s">
        <v>21</v>
      </c>
      <c r="J2">
        <v>1</v>
      </c>
      <c r="M2">
        <v>1</v>
      </c>
    </row>
    <row r="3" spans="1:13" x14ac:dyDescent="0.25">
      <c r="A3" t="s">
        <v>3</v>
      </c>
      <c r="B3" s="2">
        <v>43132</v>
      </c>
      <c r="C3" s="2">
        <v>43160</v>
      </c>
      <c r="D3">
        <v>20</v>
      </c>
      <c r="E3">
        <v>2</v>
      </c>
      <c r="F3" t="s">
        <v>10</v>
      </c>
      <c r="G3">
        <f t="shared" si="0"/>
        <v>6</v>
      </c>
      <c r="H3">
        <f t="shared" si="1"/>
        <v>14</v>
      </c>
      <c r="I3" t="s">
        <v>21</v>
      </c>
      <c r="J3">
        <v>1</v>
      </c>
      <c r="M3">
        <v>2</v>
      </c>
    </row>
    <row r="4" spans="1:13" x14ac:dyDescent="0.25">
      <c r="A4" t="s">
        <v>3</v>
      </c>
      <c r="B4" s="2">
        <v>43160</v>
      </c>
      <c r="C4" s="2">
        <v>43191</v>
      </c>
      <c r="D4">
        <v>15</v>
      </c>
      <c r="E4">
        <v>3</v>
      </c>
      <c r="F4" t="s">
        <v>12</v>
      </c>
      <c r="G4">
        <f t="shared" si="0"/>
        <v>8</v>
      </c>
      <c r="H4">
        <f t="shared" si="1"/>
        <v>7</v>
      </c>
      <c r="I4" t="s">
        <v>21</v>
      </c>
      <c r="J4">
        <v>2</v>
      </c>
      <c r="M4">
        <v>3</v>
      </c>
    </row>
    <row r="5" spans="1:13" x14ac:dyDescent="0.25">
      <c r="A5" t="s">
        <v>10</v>
      </c>
      <c r="B5" s="2">
        <v>43132</v>
      </c>
      <c r="C5" s="2">
        <v>43160</v>
      </c>
      <c r="D5">
        <v>10</v>
      </c>
      <c r="E5">
        <v>4</v>
      </c>
      <c r="F5" t="s">
        <v>3</v>
      </c>
      <c r="G5" s="3">
        <f t="shared" si="0"/>
        <v>8</v>
      </c>
      <c r="H5">
        <f t="shared" si="1"/>
        <v>2</v>
      </c>
      <c r="I5" t="s">
        <v>22</v>
      </c>
      <c r="J5">
        <v>3</v>
      </c>
      <c r="M5">
        <v>4</v>
      </c>
    </row>
    <row r="6" spans="1:13" x14ac:dyDescent="0.25">
      <c r="A6" t="s">
        <v>10</v>
      </c>
      <c r="B6" s="2">
        <v>43161</v>
      </c>
      <c r="C6" s="2">
        <v>43191</v>
      </c>
      <c r="D6">
        <v>30</v>
      </c>
      <c r="E6">
        <v>5</v>
      </c>
      <c r="F6" t="s">
        <v>10</v>
      </c>
      <c r="G6" s="3">
        <f t="shared" si="0"/>
        <v>3</v>
      </c>
      <c r="H6">
        <f t="shared" si="1"/>
        <v>27</v>
      </c>
      <c r="I6" t="s">
        <v>22</v>
      </c>
      <c r="J6">
        <v>2</v>
      </c>
      <c r="M6">
        <v>5</v>
      </c>
    </row>
    <row r="7" spans="1:13" x14ac:dyDescent="0.25">
      <c r="A7" t="s">
        <v>12</v>
      </c>
      <c r="B7" s="2">
        <v>43161</v>
      </c>
      <c r="C7" s="2">
        <v>43191</v>
      </c>
      <c r="D7">
        <v>30</v>
      </c>
      <c r="E7">
        <v>6</v>
      </c>
      <c r="F7" t="s">
        <v>12</v>
      </c>
      <c r="G7" s="3">
        <f t="shared" si="0"/>
        <v>0</v>
      </c>
      <c r="H7">
        <f t="shared" si="1"/>
        <v>30</v>
      </c>
      <c r="I7" t="s">
        <v>23</v>
      </c>
      <c r="J7">
        <v>3</v>
      </c>
    </row>
    <row r="8" spans="1:13" x14ac:dyDescent="0.25">
      <c r="A8" t="s">
        <v>13</v>
      </c>
      <c r="B8" s="2">
        <v>43191</v>
      </c>
      <c r="C8" s="2"/>
      <c r="D8">
        <v>40</v>
      </c>
      <c r="E8">
        <v>7</v>
      </c>
      <c r="F8" t="s">
        <v>13</v>
      </c>
      <c r="G8" s="3">
        <f t="shared" si="0"/>
        <v>0</v>
      </c>
      <c r="H8">
        <f t="shared" si="1"/>
        <v>40</v>
      </c>
      <c r="I8" t="s">
        <v>24</v>
      </c>
      <c r="J8">
        <v>1</v>
      </c>
    </row>
    <row r="9" spans="1:13" x14ac:dyDescent="0.25">
      <c r="A9" t="s">
        <v>13</v>
      </c>
      <c r="B9" s="2">
        <v>43221</v>
      </c>
      <c r="C9" s="2"/>
      <c r="D9">
        <v>50</v>
      </c>
      <c r="E9">
        <v>8</v>
      </c>
      <c r="F9" t="s">
        <v>13</v>
      </c>
      <c r="G9" s="3">
        <f t="shared" si="0"/>
        <v>0</v>
      </c>
      <c r="H9">
        <f t="shared" si="1"/>
        <v>50</v>
      </c>
      <c r="I9" t="s">
        <v>25</v>
      </c>
      <c r="J9">
        <v>4</v>
      </c>
    </row>
  </sheetData>
  <dataConsolidate/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0000000}">
          <x14:formula1>
            <xm:f>Control!$G$2:$G$27</xm:f>
          </x14:formula1>
          <xm:sqref>F1:F9</xm:sqref>
        </x14:dataValidation>
        <x14:dataValidation type="list" allowBlank="1" showInputMessage="1" showErrorMessage="1" xr:uid="{00000000-0002-0000-0100-000001000000}">
          <x14:formula1>
            <xm:f>Control!$C$2:$C$8</xm:f>
          </x14:formula1>
          <xm:sqref>I1:I9</xm:sqref>
        </x14:dataValidation>
        <x14:dataValidation type="list" allowBlank="1" showInputMessage="1" showErrorMessage="1" xr:uid="{00000000-0002-0000-0100-000002000000}">
          <x14:formula1>
            <xm:f>Control!$E$2:$E$8</xm:f>
          </x14:formula1>
          <xm:sqref>J1:J9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9"/>
  <sheetViews>
    <sheetView tabSelected="1" workbookViewId="0">
      <selection activeCell="C3" sqref="C3"/>
    </sheetView>
  </sheetViews>
  <sheetFormatPr defaultRowHeight="15" x14ac:dyDescent="0.25"/>
  <cols>
    <col min="1" max="2" width="9.140625" style="8"/>
    <col min="3" max="3" width="9.7109375" style="8" bestFit="1" customWidth="1"/>
    <col min="4" max="4" width="11" bestFit="1" customWidth="1"/>
    <col min="5" max="5" width="9.7109375" bestFit="1" customWidth="1"/>
    <col min="10" max="10" width="14.85546875" customWidth="1"/>
    <col min="11" max="11" width="9.7109375" bestFit="1" customWidth="1"/>
    <col min="12" max="12" width="10.85546875" customWidth="1"/>
    <col min="14" max="14" width="15" bestFit="1" customWidth="1"/>
  </cols>
  <sheetData>
    <row r="1" spans="1:12" ht="30" x14ac:dyDescent="0.25">
      <c r="A1" s="10" t="s">
        <v>0</v>
      </c>
      <c r="B1" s="10" t="s">
        <v>6</v>
      </c>
      <c r="C1" s="10" t="s">
        <v>17</v>
      </c>
      <c r="D1" s="1" t="s">
        <v>7</v>
      </c>
      <c r="E1" s="1" t="s">
        <v>8</v>
      </c>
      <c r="F1" s="1" t="s">
        <v>9</v>
      </c>
      <c r="I1" t="s">
        <v>11</v>
      </c>
      <c r="J1" s="1" t="s">
        <v>7</v>
      </c>
      <c r="K1" t="s">
        <v>8</v>
      </c>
      <c r="L1" t="s">
        <v>9</v>
      </c>
    </row>
    <row r="2" spans="1:12" x14ac:dyDescent="0.25">
      <c r="A2" s="8" t="s">
        <v>3</v>
      </c>
      <c r="B2" s="8">
        <v>1</v>
      </c>
      <c r="D2" s="8">
        <v>1</v>
      </c>
      <c r="E2" s="2">
        <v>43160</v>
      </c>
      <c r="F2">
        <v>7</v>
      </c>
      <c r="I2" t="s">
        <v>3</v>
      </c>
      <c r="J2">
        <v>1</v>
      </c>
      <c r="K2" s="2">
        <v>43160</v>
      </c>
      <c r="L2">
        <v>7</v>
      </c>
    </row>
    <row r="3" spans="1:12" x14ac:dyDescent="0.25">
      <c r="A3" s="8" t="s">
        <v>3</v>
      </c>
      <c r="B3" s="8" t="s">
        <v>53</v>
      </c>
      <c r="C3" s="8" t="s">
        <v>10</v>
      </c>
      <c r="D3" s="8" t="s">
        <v>54</v>
      </c>
      <c r="E3" s="2">
        <v>43292</v>
      </c>
      <c r="F3">
        <v>5</v>
      </c>
      <c r="I3" t="s">
        <v>10</v>
      </c>
      <c r="J3">
        <v>2018070003</v>
      </c>
      <c r="K3" s="2">
        <v>43292</v>
      </c>
      <c r="L3">
        <v>5</v>
      </c>
    </row>
    <row r="4" spans="1:12" x14ac:dyDescent="0.25">
      <c r="A4" s="8" t="s">
        <v>3</v>
      </c>
      <c r="B4" s="8" t="s">
        <v>55</v>
      </c>
      <c r="C4" s="8" t="s">
        <v>12</v>
      </c>
      <c r="D4" s="8" t="s">
        <v>54</v>
      </c>
      <c r="E4" s="2">
        <v>43292</v>
      </c>
      <c r="F4">
        <v>5</v>
      </c>
      <c r="I4" t="s">
        <v>3</v>
      </c>
      <c r="J4">
        <v>2018070003</v>
      </c>
      <c r="K4" s="2">
        <v>43292</v>
      </c>
      <c r="L4">
        <v>10</v>
      </c>
    </row>
    <row r="5" spans="1:12" x14ac:dyDescent="0.25">
      <c r="A5" s="8" t="s">
        <v>10</v>
      </c>
      <c r="B5" s="8" t="s">
        <v>56</v>
      </c>
      <c r="C5" s="8" t="s">
        <v>3</v>
      </c>
      <c r="D5" s="8" t="s">
        <v>54</v>
      </c>
      <c r="E5" s="2">
        <v>43292</v>
      </c>
      <c r="F5">
        <v>5</v>
      </c>
      <c r="I5" t="s">
        <v>10</v>
      </c>
      <c r="J5">
        <v>2018070004</v>
      </c>
      <c r="K5" s="2">
        <v>43293</v>
      </c>
      <c r="L5">
        <v>6</v>
      </c>
    </row>
    <row r="6" spans="1:12" x14ac:dyDescent="0.25">
      <c r="A6" s="8" t="s">
        <v>10</v>
      </c>
      <c r="B6" s="8" t="s">
        <v>52</v>
      </c>
      <c r="C6" s="8" t="s">
        <v>10</v>
      </c>
      <c r="D6" s="8" t="s">
        <v>57</v>
      </c>
      <c r="E6" s="2">
        <v>43293</v>
      </c>
      <c r="F6">
        <v>3</v>
      </c>
      <c r="I6" t="s">
        <v>3</v>
      </c>
      <c r="J6">
        <v>2018070004</v>
      </c>
      <c r="K6" s="2">
        <v>43293</v>
      </c>
      <c r="L6">
        <v>4</v>
      </c>
    </row>
    <row r="7" spans="1:12" x14ac:dyDescent="0.25">
      <c r="A7" s="8" t="s">
        <v>3</v>
      </c>
      <c r="B7" s="8" t="s">
        <v>53</v>
      </c>
      <c r="C7" s="8" t="s">
        <v>10</v>
      </c>
      <c r="D7" s="8" t="s">
        <v>57</v>
      </c>
      <c r="E7" s="2">
        <v>43293</v>
      </c>
      <c r="F7">
        <v>1</v>
      </c>
    </row>
    <row r="8" spans="1:12" x14ac:dyDescent="0.25">
      <c r="A8" s="8" t="s">
        <v>3</v>
      </c>
      <c r="B8" s="8" t="s">
        <v>55</v>
      </c>
      <c r="C8" s="8" t="s">
        <v>12</v>
      </c>
      <c r="D8" s="8" t="s">
        <v>57</v>
      </c>
      <c r="E8" s="2">
        <v>43293</v>
      </c>
      <c r="F8">
        <v>3</v>
      </c>
    </row>
    <row r="9" spans="1:12" x14ac:dyDescent="0.25">
      <c r="A9" s="8" t="s">
        <v>10</v>
      </c>
      <c r="B9" s="8" t="s">
        <v>56</v>
      </c>
      <c r="C9" s="8" t="s">
        <v>3</v>
      </c>
      <c r="D9" s="8" t="s">
        <v>57</v>
      </c>
      <c r="E9" s="2">
        <v>43293</v>
      </c>
      <c r="F9">
        <v>3</v>
      </c>
    </row>
  </sheetData>
  <dataConsolidate/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7"/>
  <sheetViews>
    <sheetView workbookViewId="0">
      <selection activeCell="N4" sqref="N4"/>
    </sheetView>
  </sheetViews>
  <sheetFormatPr defaultRowHeight="15" x14ac:dyDescent="0.25"/>
  <cols>
    <col min="3" max="3" width="10.5703125" style="8" customWidth="1"/>
    <col min="5" max="5" width="13.5703125" style="8" customWidth="1"/>
  </cols>
  <sheetData>
    <row r="1" spans="1:7" x14ac:dyDescent="0.25">
      <c r="A1" t="s">
        <v>11</v>
      </c>
      <c r="C1" s="8" t="s">
        <v>18</v>
      </c>
      <c r="E1" s="8" t="s">
        <v>20</v>
      </c>
      <c r="G1" t="s">
        <v>17</v>
      </c>
    </row>
    <row r="2" spans="1:7" x14ac:dyDescent="0.25">
      <c r="A2" t="s">
        <v>3</v>
      </c>
      <c r="C2" s="8" t="s">
        <v>21</v>
      </c>
      <c r="E2" s="8">
        <v>1</v>
      </c>
      <c r="G2" t="s">
        <v>3</v>
      </c>
    </row>
    <row r="3" spans="1:7" x14ac:dyDescent="0.25">
      <c r="A3" t="s">
        <v>10</v>
      </c>
      <c r="C3" s="8" t="s">
        <v>22</v>
      </c>
      <c r="E3" s="8">
        <v>2</v>
      </c>
      <c r="G3" t="s">
        <v>10</v>
      </c>
    </row>
    <row r="4" spans="1:7" x14ac:dyDescent="0.25">
      <c r="A4" t="s">
        <v>12</v>
      </c>
      <c r="C4" s="8" t="s">
        <v>23</v>
      </c>
      <c r="E4" s="8">
        <v>3</v>
      </c>
      <c r="G4" t="s">
        <v>12</v>
      </c>
    </row>
    <row r="5" spans="1:7" x14ac:dyDescent="0.25">
      <c r="A5" t="s">
        <v>13</v>
      </c>
      <c r="C5" s="8" t="s">
        <v>24</v>
      </c>
      <c r="E5" s="8">
        <v>4</v>
      </c>
      <c r="G5" t="s">
        <v>13</v>
      </c>
    </row>
    <row r="6" spans="1:7" x14ac:dyDescent="0.25">
      <c r="A6" t="s">
        <v>14</v>
      </c>
      <c r="C6" s="8" t="s">
        <v>25</v>
      </c>
      <c r="E6" s="8">
        <v>5</v>
      </c>
      <c r="G6" t="s">
        <v>14</v>
      </c>
    </row>
    <row r="7" spans="1:7" x14ac:dyDescent="0.25">
      <c r="A7" t="s">
        <v>15</v>
      </c>
      <c r="C7" s="8" t="s">
        <v>26</v>
      </c>
      <c r="E7" s="8">
        <v>6</v>
      </c>
      <c r="G7" t="s">
        <v>15</v>
      </c>
    </row>
    <row r="8" spans="1:7" x14ac:dyDescent="0.25">
      <c r="A8" t="s">
        <v>16</v>
      </c>
      <c r="C8" s="8" t="s">
        <v>27</v>
      </c>
      <c r="E8" s="8">
        <v>7</v>
      </c>
      <c r="G8" t="s">
        <v>16</v>
      </c>
    </row>
    <row r="9" spans="1:7" x14ac:dyDescent="0.25">
      <c r="G9" t="s">
        <v>28</v>
      </c>
    </row>
    <row r="10" spans="1:7" x14ac:dyDescent="0.25">
      <c r="G10" t="s">
        <v>29</v>
      </c>
    </row>
    <row r="11" spans="1:7" x14ac:dyDescent="0.25">
      <c r="G11" t="s">
        <v>30</v>
      </c>
    </row>
    <row r="12" spans="1:7" x14ac:dyDescent="0.25">
      <c r="G12" t="s">
        <v>31</v>
      </c>
    </row>
    <row r="13" spans="1:7" x14ac:dyDescent="0.25">
      <c r="G13" t="s">
        <v>46</v>
      </c>
    </row>
    <row r="14" spans="1:7" x14ac:dyDescent="0.25">
      <c r="G14" t="s">
        <v>32</v>
      </c>
    </row>
    <row r="15" spans="1:7" x14ac:dyDescent="0.25">
      <c r="G15" t="s">
        <v>33</v>
      </c>
    </row>
    <row r="16" spans="1:7" x14ac:dyDescent="0.25">
      <c r="G16" t="s">
        <v>34</v>
      </c>
    </row>
    <row r="17" spans="7:7" x14ac:dyDescent="0.25">
      <c r="G17" t="s">
        <v>35</v>
      </c>
    </row>
    <row r="18" spans="7:7" x14ac:dyDescent="0.25">
      <c r="G18" t="s">
        <v>36</v>
      </c>
    </row>
    <row r="19" spans="7:7" x14ac:dyDescent="0.25">
      <c r="G19" t="s">
        <v>37</v>
      </c>
    </row>
    <row r="20" spans="7:7" x14ac:dyDescent="0.25">
      <c r="G20" t="s">
        <v>38</v>
      </c>
    </row>
    <row r="21" spans="7:7" x14ac:dyDescent="0.25">
      <c r="G21" t="s">
        <v>39</v>
      </c>
    </row>
    <row r="22" spans="7:7" x14ac:dyDescent="0.25">
      <c r="G22" t="s">
        <v>40</v>
      </c>
    </row>
    <row r="23" spans="7:7" x14ac:dyDescent="0.25">
      <c r="G23" t="s">
        <v>41</v>
      </c>
    </row>
    <row r="24" spans="7:7" x14ac:dyDescent="0.25">
      <c r="G24" t="s">
        <v>42</v>
      </c>
    </row>
    <row r="25" spans="7:7" x14ac:dyDescent="0.25">
      <c r="G25" t="s">
        <v>43</v>
      </c>
    </row>
    <row r="26" spans="7:7" x14ac:dyDescent="0.25">
      <c r="G26" t="s">
        <v>44</v>
      </c>
    </row>
    <row r="27" spans="7:7" x14ac:dyDescent="0.25">
      <c r="G27" t="s">
        <v>45</v>
      </c>
    </row>
  </sheetData>
  <pageMargins left="0.7" right="0.7" top="0.75" bottom="0.75" header="0.3" footer="0.3"/>
  <pageSetup orientation="portrait" horizontalDpi="4294967293" verticalDpi="4294967293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66A079-2B18-47BC-A560-5325923DA6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Options</vt:lpstr>
      <vt:lpstr>Test</vt:lpstr>
      <vt:lpstr>Receipts</vt:lpstr>
      <vt:lpstr>Shipped</vt:lpstr>
      <vt:lpstr>Control</vt:lpstr>
      <vt:lpstr>Item</vt:lpstr>
      <vt:lpstr>Quantity</vt:lpstr>
      <vt:lpstr>Received</vt:lpstr>
      <vt:lpstr>Received_6409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 Bell</dc:creator>
  <cp:lastModifiedBy>Morgan Bell</cp:lastModifiedBy>
  <dcterms:created xsi:type="dcterms:W3CDTF">2018-06-08T20:39:31Z</dcterms:created>
  <dcterms:modified xsi:type="dcterms:W3CDTF">2018-07-15T22:53:22Z</dcterms:modified>
</cp:coreProperties>
</file>