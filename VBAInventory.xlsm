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0_ncr:8100000_{DC2A22A3-87E7-48F5-933E-4D10B404AD76}" xr6:coauthVersionLast="33" xr6:coauthVersionMax="33" xr10:uidLastSave="{00000000-0000-0000-0000-000000000000}"/>
  <bookViews>
    <workbookView xWindow="0" yWindow="0" windowWidth="25200" windowHeight="12360" xr2:uid="{7F528588-5669-44F5-BF2A-CD8CB76A1C31}"/>
  </bookViews>
  <sheets>
    <sheet name="Receipts" sheetId="1" r:id="rId1"/>
    <sheet name="Shipped" sheetId="2" r:id="rId2"/>
    <sheet name="Control" sheetId="3" r:id="rId3"/>
  </sheets>
  <functionGroups builtInGroupCount="19"/>
  <definedNames>
    <definedName name="_xlnm._FilterDatabase" localSheetId="1" hidden="1">Shipped!#REF!</definedName>
    <definedName name="_xlnm.Criteria" localSheetId="1">Shipped!#REF!</definedName>
    <definedName name="_xlnm.Extract" localSheetId="1">Shipped!#REF!</definedName>
    <definedName name="Item">Table2[Item]</definedName>
    <definedName name="Quantity">Table3[Quantity]</definedName>
    <definedName name="Received">Receipts!$A$1:$H$6</definedName>
    <definedName name="Received_6409">Table3[Received 6409]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<sst xmlns="http://schemas.openxmlformats.org/spreadsheetml/2006/main" count="80" uniqueCount="47">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</sst>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</cellXfs>
  <cellStyles count="1">
    <cellStyle name="Normal" xfId="0" builtinId="0"/>
  </cellStyles>
  <dxfs count="1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76200</xdr:rowOff>
        </xdr:from>
        <xdr:to>
          <xdr:col>14</xdr:col>
          <xdr:colOff>990600</xdr:colOff>
          <xdr:row>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ListBox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6D4C5D-54E1-4BEB-87D6-9D854B804FC8}" name="Table1" displayName="Table1" ref="A1:J6" totalsRowShown="0" headerRowDxfId="9">
  <autoFilter ref="A1:J6" xr:uid="{A98F125C-C7CB-4866-BD4C-705DFC517DB9}"/>
  <tableColumns count="10">
    <tableColumn id="1" xr3:uid="{6485DBA4-7482-4F5A-98DF-57DB81A2950E}" name="item"/>
    <tableColumn id="2" xr3:uid="{67682EB1-D26B-4AAA-A98B-B8F172AF2864}" name="date received" dataDxfId="8"/>
    <tableColumn id="3" xr3:uid="{BF525AB6-B9FD-4222-8AD0-593CB28B1FF6}" name="expiration  date" dataDxfId="7"/>
    <tableColumn id="4" xr3:uid="{45622A93-1837-4CD1-8143-8FCC99078F49}" name="Quantity Received"/>
    <tableColumn id="5" xr3:uid="{F51D28E4-3E95-4057-A8A3-36A20F9A0691}" name="Received 6409"/>
    <tableColumn id="8" xr3:uid="{FE9E06B2-FE17-4FCC-8943-F6ACB98E6752}" name="Lot"/>
    <tableColumn id="6" xr3:uid="{DDF1F034-855B-4D6B-B4B8-129CCC5A2C7A}" name="Quantity Consumed" dataDxfId="6">
      <calculatedColumnFormula>SUMIF(Received_6409,E2,Quantity)</calculatedColumnFormula>
    </tableColumn>
    <tableColumn id="7" xr3:uid="{49D895F4-5524-43F6-BE1E-7FA5DCDB4F2C}" name="Quantity Available">
      <calculatedColumnFormula>D2-G2</calculatedColumnFormula>
    </tableColumn>
    <tableColumn id="10" xr3:uid="{D8D14D7B-4FB5-48B6-90F0-E6A9BEE5DA7E}" name="Location"/>
    <tableColumn id="9" xr3:uid="{BC08C0C0-A174-4A67-B177-E438A5220E5D}" name="Sub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197226-E26C-421B-9F93-EF18BF5916C7}" name="Table3" displayName="Table3" ref="A1:E7" totalsRowShown="0" headerRowDxfId="5">
  <autoFilter ref="A1:E7" xr:uid="{7F3A76AD-AAD3-4B06-B270-47D8004922CB}"/>
  <tableColumns count="5">
    <tableColumn id="1" xr3:uid="{8B321A8F-268E-436A-9920-ED9D817C7B09}" name="item"/>
    <tableColumn id="2" xr3:uid="{2B305A59-B504-47C5-A7E8-5E9458686654}" name="Received 6409"/>
    <tableColumn id="3" xr3:uid="{70F20597-7AA5-40CC-9EAA-33E57C6187A8}" name="Shipped 6409"/>
    <tableColumn id="4" xr3:uid="{2E368109-B7B6-45F2-97CF-6201D2695096}" name="Date" dataDxfId="4"/>
    <tableColumn id="5" xr3:uid="{A7468D12-FC72-4601-982D-3A7D268E053A}" name="Quant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AA558F-0A06-421F-BB9D-DA3EFB035E4E}" name="Table2" displayName="Table2" ref="A1:A8" totalsRowShown="0">
  <autoFilter ref="A1:A8" xr:uid="{7A9A9622-E6CF-4F14-976A-2931C1BB339E}"/>
  <tableColumns count="1">
    <tableColumn id="1" xr3:uid="{31287E12-BF1A-4B92-9710-40D371E01199}" name="Ite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A7C3C4-4675-4047-8DC5-760B6CECFEA7}" name="Table4" displayName="Table4" ref="C1:C8" totalsRowShown="0" headerRowDxfId="2">
  <autoFilter ref="C1:C8" xr:uid="{3024AE6D-B5C9-4BE0-98B2-3F0547053AF7}"/>
  <tableColumns count="1">
    <tableColumn id="1" xr3:uid="{BB6FA548-138F-4E50-9450-2040DC04B446}" name="Location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26373CB-A85E-40F7-87D6-A655B017A762}" name="Table5" displayName="Table5" ref="E1:E8" totalsRowShown="0" headerRowDxfId="0">
  <autoFilter ref="E1:E8" xr:uid="{20BC003A-7B7E-4019-88F8-E4ABAF5AD230}"/>
  <tableColumns count="1">
    <tableColumn id="1" xr3:uid="{75F633C2-3C03-49C7-8D3B-1AF59AF62C8B}" name="Sublocation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D3828D-3A12-47EE-8177-384CA06E42F4}" name="Table6" displayName="Table6" ref="G1:G27" totalsRowShown="0">
  <autoFilter ref="G1:G27" xr:uid="{85DB96F6-D321-4124-9669-7917D1DFF3B5}"/>
  <tableColumns count="1">
    <tableColumn id="1" xr3:uid="{51FDC87C-FF8C-4C86-8149-D9EFB976EBBC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5E6A8-F2F3-4F36-8AC0-DF68896BD7A4}">
  <sheetPr codeName="Sheet1"/>
  <dimension ref="A1:K6"/>
  <sheetViews>
    <sheetView tabSelected="1" workbookViewId="0">
      <selection activeCell="F9" sqref="F9"/>
    </sheetView>
  </sheetViews>
  <sheetFormatPr defaultRowHeight="15" x14ac:dyDescent="0.25"/>
  <cols>
    <col min="2" max="2" width="10.85546875" customWidth="1"/>
    <col min="3" max="3" width="14.5703125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1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</row>
    <row r="2" spans="1:11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>SUMIF(Received_6409,E2,Quantity)</f>
        <v>9</v>
      </c>
      <c r="H2">
        <f>D2-G2</f>
        <v>1</v>
      </c>
      <c r="I2" t="s">
        <v>21</v>
      </c>
      <c r="J2">
        <v>1</v>
      </c>
    </row>
    <row r="3" spans="1:11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>SUMIF(Received_6409,E3,Quantity)</f>
        <v>5</v>
      </c>
      <c r="H3">
        <f>D3-G3</f>
        <v>15</v>
      </c>
      <c r="I3" t="s">
        <v>21</v>
      </c>
      <c r="J3">
        <v>1</v>
      </c>
    </row>
    <row r="4" spans="1:11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>SUMIF(Received_6409,E4,Quantity)</f>
        <v>10</v>
      </c>
      <c r="H4">
        <f>D4-G4</f>
        <v>5</v>
      </c>
      <c r="I4" t="s">
        <v>21</v>
      </c>
      <c r="J4">
        <v>2</v>
      </c>
    </row>
    <row r="5" spans="1:11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>SUMIF(Received_6409,E5,Quantity)</f>
        <v>2</v>
      </c>
      <c r="H5">
        <f>D5-G5</f>
        <v>8</v>
      </c>
      <c r="I5" t="s">
        <v>22</v>
      </c>
      <c r="J5">
        <v>3</v>
      </c>
    </row>
    <row r="6" spans="1:11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>SUMIF(Received_6409,E6,Quantity)</f>
        <v>0</v>
      </c>
      <c r="H6">
        <f>D6-G6</f>
        <v>30</v>
      </c>
      <c r="I6" t="s">
        <v>22</v>
      </c>
      <c r="J6">
        <v>2</v>
      </c>
    </row>
  </sheetData>
  <dataConsolidate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List">
                <anchor moveWithCells="1" sizeWithCells="1">
                  <from>
                    <xdr:col>12</xdr:col>
                    <xdr:colOff>590550</xdr:colOff>
                    <xdr:row>0</xdr:row>
                    <xdr:rowOff>76200</xdr:rowOff>
                  </from>
                  <to>
                    <xdr:col>14</xdr:col>
                    <xdr:colOff>990600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E5ECD1-CD4E-49C0-A5FC-ACF726C32B3C}">
          <x14:formula1>
            <xm:f>Control!$G$2:$G$27</xm:f>
          </x14:formula1>
          <xm:sqref>F1:F6</xm:sqref>
        </x14:dataValidation>
        <x14:dataValidation type="list" allowBlank="1" showInputMessage="1" showErrorMessage="1" xr:uid="{DFB195B6-FF91-46F2-9952-DCC26B311968}">
          <x14:formula1>
            <xm:f>Control!$C$2:$C$8</xm:f>
          </x14:formula1>
          <xm:sqref>I1:I6</xm:sqref>
        </x14:dataValidation>
        <x14:dataValidation type="list" allowBlank="1" showInputMessage="1" showErrorMessage="1" xr:uid="{0407A9F3-1CFE-4670-AFC9-EF3544B9CFDA}">
          <x14:formula1>
            <xm:f>Control!$E$2:$E$8</xm:f>
          </x14:formula1>
          <xm:sqref>J1:J6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1344-7ACE-4ED2-A150-7CA920B5858D}">
  <sheetPr codeName="Sheet2"/>
  <dimension ref="A1:E7"/>
  <sheetViews>
    <sheetView workbookViewId="0">
      <selection activeCell="O29" sqref="O29"/>
    </sheetView>
  </sheetViews>
  <sheetFormatPr defaultRowHeight="15" x14ac:dyDescent="0.25"/>
  <cols>
    <col min="4" max="4" width="9.7109375" bestFit="1" customWidth="1"/>
  </cols>
  <sheetData>
    <row r="1" spans="1:5" ht="30" x14ac:dyDescent="0.25">
      <c r="A1" s="1" t="s">
        <v>0</v>
      </c>
      <c r="B1" s="1" t="s">
        <v>6</v>
      </c>
      <c r="C1" s="1" t="s">
        <v>7</v>
      </c>
      <c r="D1" s="1" t="s">
        <v>8</v>
      </c>
      <c r="E1" s="1" t="s">
        <v>9</v>
      </c>
    </row>
    <row r="2" spans="1:5" x14ac:dyDescent="0.25">
      <c r="A2" t="s">
        <v>3</v>
      </c>
      <c r="B2">
        <v>1</v>
      </c>
      <c r="C2">
        <v>9</v>
      </c>
      <c r="D2" s="2">
        <v>43160</v>
      </c>
      <c r="E2">
        <v>3</v>
      </c>
    </row>
    <row r="3" spans="1:5" x14ac:dyDescent="0.25">
      <c r="A3" t="s">
        <v>3</v>
      </c>
      <c r="B3">
        <v>1</v>
      </c>
      <c r="C3">
        <v>6</v>
      </c>
      <c r="D3" s="2">
        <v>43191</v>
      </c>
      <c r="E3">
        <v>4</v>
      </c>
    </row>
    <row r="4" spans="1:5" x14ac:dyDescent="0.25">
      <c r="A4" t="s">
        <v>3</v>
      </c>
      <c r="B4">
        <v>1</v>
      </c>
      <c r="C4">
        <v>7</v>
      </c>
      <c r="D4" s="2">
        <v>43174</v>
      </c>
      <c r="E4">
        <v>2</v>
      </c>
    </row>
    <row r="5" spans="1:5" x14ac:dyDescent="0.25">
      <c r="A5" t="s">
        <v>3</v>
      </c>
      <c r="B5">
        <v>2</v>
      </c>
      <c r="C5">
        <v>5</v>
      </c>
      <c r="D5" s="2">
        <v>43132</v>
      </c>
      <c r="E5">
        <v>5</v>
      </c>
    </row>
    <row r="6" spans="1:5" x14ac:dyDescent="0.25">
      <c r="A6" t="s">
        <v>3</v>
      </c>
      <c r="B6">
        <v>3</v>
      </c>
      <c r="C6">
        <v>8</v>
      </c>
      <c r="D6" s="2">
        <v>43191</v>
      </c>
      <c r="E6">
        <v>10</v>
      </c>
    </row>
    <row r="7" spans="1:5" x14ac:dyDescent="0.25">
      <c r="A7" t="s">
        <v>10</v>
      </c>
      <c r="B7">
        <v>4</v>
      </c>
      <c r="C7">
        <v>2</v>
      </c>
      <c r="D7" s="2">
        <v>43160</v>
      </c>
      <c r="E7">
        <v>2</v>
      </c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ADCB-6B25-4B64-81DE-901C7BB754AD}">
  <sheetPr codeName="Sheet3"/>
  <dimension ref="A1:G27"/>
  <sheetViews>
    <sheetView topLeftCell="A7" workbookViewId="0">
      <selection activeCell="G1" sqref="G1:G27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lsbel</cp:lastModifiedBy>
  <dcterms:created xsi:type="dcterms:W3CDTF">2018-06-08T20:39:31Z</dcterms:created>
  <dcterms:modified xsi:type="dcterms:W3CDTF">2018-06-19T16:18:59Z</dcterms:modified>
</cp:coreProperties>
</file>